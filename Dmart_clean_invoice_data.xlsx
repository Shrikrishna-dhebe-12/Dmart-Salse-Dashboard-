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<sst xmlns="http://schemas.openxmlformats.org/spreadsheetml/2006/main" count="964" uniqueCount="223">
  <si>
    <t>D'Mart Dataset</t>
  </si>
  <si>
    <t>Date</t>
  </si>
  <si>
    <t>Invoice_ID</t>
  </si>
  <si>
    <t>Customer_ID</t>
  </si>
  <si>
    <t>Product_Name</t>
  </si>
  <si>
    <t>Product_Category</t>
  </si>
  <si>
    <t>Quantity</t>
  </si>
  <si>
    <t>Unit_Price</t>
  </si>
  <si>
    <t>Discount</t>
  </si>
  <si>
    <t>Payment_Method</t>
  </si>
  <si>
    <t>Store_Location</t>
  </si>
  <si>
    <t>INV0001</t>
  </si>
  <si>
    <t>CUST112</t>
  </si>
  <si>
    <t>Soap</t>
  </si>
  <si>
    <t>Stationery</t>
  </si>
  <si>
    <t>Cash</t>
  </si>
  <si>
    <t>Aurangabad</t>
  </si>
  <si>
    <t>INV0002</t>
  </si>
  <si>
    <t>CUST108</t>
  </si>
  <si>
    <t>Grocery</t>
  </si>
  <si>
    <t>Pune</t>
  </si>
  <si>
    <t>INV0003</t>
  </si>
  <si>
    <t>CUST104</t>
  </si>
  <si>
    <t>Pen</t>
  </si>
  <si>
    <t>Card</t>
  </si>
  <si>
    <t>Nashik</t>
  </si>
  <si>
    <t>INV0004</t>
  </si>
  <si>
    <t>CUST113</t>
  </si>
  <si>
    <t>Notebook</t>
  </si>
  <si>
    <t>INV0005</t>
  </si>
  <si>
    <t>CUST114</t>
  </si>
  <si>
    <t>Shoes</t>
  </si>
  <si>
    <t>Clothing</t>
  </si>
  <si>
    <t>Mumbai</t>
  </si>
  <si>
    <t>INV0006</t>
  </si>
  <si>
    <t>Nagpur</t>
  </si>
  <si>
    <t>INV0007</t>
  </si>
  <si>
    <t>CUST110</t>
  </si>
  <si>
    <t>Milk 1L</t>
  </si>
  <si>
    <t>Home</t>
  </si>
  <si>
    <t>INV0008</t>
  </si>
  <si>
    <t>Mixer</t>
  </si>
  <si>
    <t>Electronics</t>
  </si>
  <si>
    <t>Upi</t>
  </si>
  <si>
    <t>INV0009</t>
  </si>
  <si>
    <t>CUST103</t>
  </si>
  <si>
    <t>INV0010</t>
  </si>
  <si>
    <t>CUST120</t>
  </si>
  <si>
    <t>INV0011</t>
  </si>
  <si>
    <t>CUST111</t>
  </si>
  <si>
    <t>INV0012</t>
  </si>
  <si>
    <t>CUST102</t>
  </si>
  <si>
    <t>Mobile Phone</t>
  </si>
  <si>
    <t>INV0013</t>
  </si>
  <si>
    <t>CUST119</t>
  </si>
  <si>
    <t/>
  </si>
  <si>
    <t>INV0014</t>
  </si>
  <si>
    <t>CUST118</t>
  </si>
  <si>
    <t>INV0015</t>
  </si>
  <si>
    <t>Rice 5Kg</t>
  </si>
  <si>
    <t>INV0016</t>
  </si>
  <si>
    <t>T-Shirt</t>
  </si>
  <si>
    <t>INV0017</t>
  </si>
  <si>
    <t>INV0018</t>
  </si>
  <si>
    <t>INV0019</t>
  </si>
  <si>
    <t>CUST101</t>
  </si>
  <si>
    <t>INV0020</t>
  </si>
  <si>
    <t>INV0021</t>
  </si>
  <si>
    <t>INV0022</t>
  </si>
  <si>
    <t>CUST105</t>
  </si>
  <si>
    <t>INV0023</t>
  </si>
  <si>
    <t>INV0024</t>
  </si>
  <si>
    <t>INV0025</t>
  </si>
  <si>
    <t>INV0026</t>
  </si>
  <si>
    <t>INV0027</t>
  </si>
  <si>
    <t>CUST106</t>
  </si>
  <si>
    <t>INV0028</t>
  </si>
  <si>
    <t>INV0029</t>
  </si>
  <si>
    <t>INV0030</t>
  </si>
  <si>
    <t>Tv</t>
  </si>
  <si>
    <t>INV0031</t>
  </si>
  <si>
    <t>CUST117</t>
  </si>
  <si>
    <t>INV0032</t>
  </si>
  <si>
    <t>CUST100</t>
  </si>
  <si>
    <t>INV0033</t>
  </si>
  <si>
    <t>INV0034</t>
  </si>
  <si>
    <t>CUST116</t>
  </si>
  <si>
    <t>INV0035</t>
  </si>
  <si>
    <t>INV0036</t>
  </si>
  <si>
    <t>CUST115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</si>
  <si>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</si>
  <si>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</si>
  <si>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</si>
  <si>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</si>
  <si>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</si>
  <si>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</si>
  <si>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</si>
  <si>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</si>
  <si>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</si>
  <si>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</si>
  <si>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</si>
  <si>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</si>
  <si>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CUST109</t>
  </si>
  <si>
    <t>INV0049</t>
  </si>
  <si>
    <t>INV0050</t>
  </si>
  <si>
    <t>INV0051</t>
  </si>
  <si>
    <t>INV0052</t>
  </si>
  <si>
    <t>INV0053</t>
  </si>
  <si>
    <t>CUST107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</si>
  <si>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</si>
  <si>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</si>
  <si>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</si>
  <si>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</si>
  <si>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</si>
  <si>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</si>
  <si>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</si>
  <si>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</si>
  <si>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</si>
  <si>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</si>
  <si>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</si>
  <si>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</si>
  <si>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</si>
  <si>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</si>
  <si>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</si>
  <si>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</si>
  <si>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</si>
  <si>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</si>
  <si>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</si>
  <si>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</si>
  <si>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</si>
  <si>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</si>
  <si>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</si>
  <si>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</si>
  <si>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</si>
  <si>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</si>
  <si>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</si>
  <si>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</si>
  <si>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</si>
  <si>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</si>
  <si>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</si>
  <si>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</si>
  <si>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</si>
  <si>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</si>
  <si>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</si>
  <si>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</si>
  <si>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</si>
  <si>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</si>
  <si>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</si>
  <si>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</si>
  <si>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</si>
  <si>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</si>
  <si>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</si>
  <si>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</si>
  <si>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</si>
  <si>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</si>
  <si>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</si>
  <si>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</si>
  <si>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</si>
  <si>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</si>
  <si>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</si>
  <si>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</si>
  <si>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</si>
  <si>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</si>
  <si>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</si>
  <si>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</si>
  <si>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</si>
  <si>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</si>
  <si>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</si>
  <si>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</si>
  <si>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</si>
  <si>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</si>
  <si>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</si>
  <si>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</si>
  <si>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</si>
  <si>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</si>
  <si>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</si>
  <si>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</si>
  <si>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</si>
  <si>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</si>
  <si>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</si>
  <si>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</si>
  <si>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</si>
  <si>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</si>
  <si>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</si>
  <si>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</si>
  <si>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</si>
  <si>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</si>
  <si>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</si>
  <si>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</si>
  <si>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</si>
  <si>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</si>
  <si>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</si>
  <si>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</si>
  <si>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</si>
  <si>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</si>
  <si>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</si>
  <si>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</si>
  <si>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</si>
  <si>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</si>
  <si>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</si>
  <si>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</si>
  <si>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</si>
  <si>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</si>
  <si>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</si>
  <si>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</si>
  <si>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</si>
  <si>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EDA</t>
  </si>
  <si>
    <t xml:space="preserve">Unit price </t>
  </si>
  <si>
    <t>values</t>
  </si>
  <si>
    <t xml:space="preserve">sum </t>
  </si>
  <si>
    <t>min</t>
  </si>
  <si>
    <t>max</t>
  </si>
  <si>
    <t>ava</t>
  </si>
  <si>
    <t>mean</t>
  </si>
  <si>
    <t>mode</t>
  </si>
  <si>
    <t>medium</t>
  </si>
  <si>
    <t>sd</t>
  </si>
  <si>
    <t>Pivote colume</t>
  </si>
  <si>
    <t>Total order</t>
  </si>
  <si>
    <t xml:space="preserve">Product name </t>
  </si>
  <si>
    <t>Sales price</t>
  </si>
  <si>
    <r>
      <t>Order</t>
    </r>
    <r>
      <rPr>
        <b/>
        <sz val="11"/>
        <color rgb="FFFFFFFF"/>
        <rFont val="Calibri"/>
        <charset val="134"/>
      </rPr>
      <t xml:space="preserve"> </t>
    </r>
  </si>
  <si>
    <t>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</si>
</sst>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3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48"/>
      <color rgb="FF00B050"/>
      <name val="Cambria"/>
      <charset val="134"/>
    </font>
    <font>
      <sz val="11"/>
      <color rgb="FF00B05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4F81BD"/>
        <bgColor rgb="FF4F81BD"/>
      </patternFill>
    </fill>
    <fill>
      <patternFill patternType="solid">
        <fgColor rgb="FFC9C6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10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Alignment="1">
      <alignment vertical="top"/>
    </xf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3" fillId="0" borderId="0" xfId="0" applyFont="1"/>
    <xf numFmtId="0" fontId="4" fillId="0" borderId="0" xfId="0" applyFont="1"/>
    <xf numFmtId="0" fontId="5" fillId="2" borderId="9" xfId="0" applyFont="1" applyFill="1" applyBorder="1" applyAlignment="1">
      <alignment horizontal="center" vertical="top"/>
    </xf>
    <xf numFmtId="0" fontId="0" fillId="3" borderId="10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0" fillId="4" borderId="10" xfId="0" applyFont="1" applyFill="1" applyBorder="1"/>
    <xf numFmtId="0" fontId="0" fillId="6" borderId="0" xfId="0" applyFill="1"/>
    <xf numFmtId="0" fontId="7" fillId="6" borderId="0" xfId="0" applyFont="1" applyFill="1"/>
    <xf numFmtId="0" fontId="8" fillId="6" borderId="0" xfId="0" applyFont="1" applyFill="1"/>
    <xf numFmtId="0" fontId="9" fillId="0" borderId="13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80" fontId="11" fillId="0" borderId="0" xfId="0" applyNumberFormat="1" applyFont="1"/>
    <xf numFmtId="0" fontId="11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000000"/>
      </font>
      <numFmt numFmtId="180" formatCode="yyyy/mm/dd\ hh:mm:ss"/>
    </dxf>
    <dxf>
      <font>
        <color rgb="FF000000"/>
      </font>
    </dxf>
    <dxf>
      <font>
        <color theme="1"/>
      </font>
      <fill>
        <patternFill patternType="solid">
          <fgColor theme="4" tint="0.599993896298105"/>
          <bgColor theme="4" tint="0.59999389629810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9" defaultPivotStyle="PivotStyleLight16"/>
  <colors>
    <mruColors>
      <color rgb="00D3CCC4"/>
      <color rgb="00C9C6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J153" totalsRowShown="0">
  <autoFilter xmlns:etc="http://www.wps.cn/officeDocument/2017/etCustomData" ref="A3:J153" etc:filterBottomFollowUsedRange="0"/>
  <tableColumns count="10">
    <tableColumn id="1" name="Date" dataDxfId="0"/>
    <tableColumn id="2" name="Invoice_ID"/>
    <tableColumn id="3" name="Customer_ID" dataDxfId="1"/>
    <tableColumn id="4" name="Product_Name"/>
    <tableColumn id="5" name="Product_Category"/>
    <tableColumn id="6" name="Quantity"/>
    <tableColumn id="7" name="Unit_Price"/>
    <tableColumn id="8" name="Discount"/>
    <tableColumn id="9" name="Payment_Method"/>
    <tableColumn id="10" name="Store_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11" totalsRowShown="0">
  <autoFilter xmlns:etc="http://www.wps.cn/officeDocument/2017/etCustomData" ref="A3:B11" etc:filterBottomFollowUsedRange="0"/>
  <tableColumns count="2">
    <tableColumn id="1" name="Unit price "/>
    <tableColumn id="2" name="valu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6:C26" totalsRowShown="0">
  <autoFilter xmlns:etc="http://www.wps.cn/officeDocument/2017/etCustomData" ref="A16:C26" etc:filterBottomFollowUsedRange="0"/>
  <tableColumns count="3">
    <tableColumn id="1" name="Product name " dataDxfId="2"/>
    <tableColumn id="2" name="Sales price"/>
    <tableColumn id="3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abSelected="1" workbookViewId="0">
      <selection activeCell="L14" sqref="L14:M14"/>
    </sheetView>
  </sheetViews>
  <sheetFormatPr defaultColWidth="9" defaultRowHeight="14.4"/>
  <cols>
    <col min="1" max="1" width="19.6666666666667" customWidth="1"/>
    <col min="2" max="2" width="10.6666666666667" customWidth="1"/>
    <col min="3" max="3" width="12.2222222222222" customWidth="1"/>
    <col min="4" max="4" width="14.8888888888889" customWidth="1"/>
    <col min="5" max="5" width="14.7777777777778" customWidth="1"/>
    <col min="6" max="6" width="9.77777777777778" customWidth="1"/>
    <col min="7" max="7" width="9.44444444444444" customWidth="1"/>
    <col min="8" max="8" width="10.3333333333333" customWidth="1"/>
    <col min="9" max="9" width="12.5555555555556" customWidth="1"/>
    <col min="10" max="10" width="12.3333333333333" customWidth="1"/>
  </cols>
  <sheetData>
    <row r="1" ht="59.4" spans="1:10">
      <c r="B1" s="20"/>
      <c r="C1" s="21" t="s">
        <v>0</v>
      </c>
      <c r="D1" s="22"/>
      <c r="E1" s="20"/>
      <c r="F1" s="20"/>
      <c r="G1" s="20"/>
      <c r="H1" s="20"/>
    </row>
    <row r="3" spans="1:10">
      <c r="A3" s="23" t="s">
        <v>1</v>
      </c>
      <c r="B3" s="24" t="s">
        <v>2</v>
      </c>
      <c r="C3" s="23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4" t="s">
        <v>9</v>
      </c>
      <c r="J3" s="24" t="s">
        <v>10</v>
      </c>
    </row>
    <row r="4" spans="1:10">
      <c r="A4" s="25">
        <v>46204</v>
      </c>
      <c r="B4" t="s">
        <v>11</v>
      </c>
      <c r="C4" s="26" t="s">
        <v>12</v>
      </c>
      <c r="D4" t="s">
        <v>13</v>
      </c>
      <c r="E4" t="s">
        <v>14</v>
      </c>
      <c r="F4">
        <v>2</v>
      </c>
      <c r="G4">
        <v>100</v>
      </c>
      <c r="H4">
        <v>20</v>
      </c>
      <c r="I4" t="s">
        <v>15</v>
      </c>
      <c r="J4" t="s">
        <v>16</v>
      </c>
    </row>
    <row r="5" spans="1:10">
      <c r="A5" s="25">
        <v>46205</v>
      </c>
      <c r="B5" t="s">
        <v>17</v>
      </c>
      <c r="C5" s="26" t="s">
        <v>18</v>
      </c>
      <c r="D5" t="s">
        <v>13</v>
      </c>
      <c r="E5" t="s">
        <v>19</v>
      </c>
      <c r="F5">
        <v>3</v>
      </c>
      <c r="G5">
        <v>100</v>
      </c>
      <c r="H5">
        <v>10</v>
      </c>
      <c r="I5" t="s">
        <v>15</v>
      </c>
      <c r="J5" t="s">
        <v>20</v>
      </c>
    </row>
    <row r="6" spans="1:10">
      <c r="A6" s="25">
        <v>46206</v>
      </c>
      <c r="B6" t="s">
        <v>21</v>
      </c>
      <c r="C6" s="26" t="s">
        <v>22</v>
      </c>
      <c r="D6" t="s">
        <v>23</v>
      </c>
      <c r="E6" t="s">
        <v>14</v>
      </c>
      <c r="F6">
        <v>2</v>
      </c>
      <c r="G6">
        <v>400</v>
      </c>
      <c r="H6">
        <v>20</v>
      </c>
      <c r="I6" t="s">
        <v>24</v>
      </c>
      <c r="J6" t="s">
        <v>25</v>
      </c>
    </row>
    <row r="7" spans="1:10">
      <c r="A7" s="25">
        <v>46207</v>
      </c>
      <c r="B7" t="s">
        <v>26</v>
      </c>
      <c r="C7" s="26" t="s">
        <v>27</v>
      </c>
      <c r="D7" t="s">
        <v>28</v>
      </c>
      <c r="E7" t="s">
        <v>14</v>
      </c>
      <c r="F7">
        <v>2</v>
      </c>
      <c r="G7">
        <v>100</v>
      </c>
      <c r="H7">
        <v>0</v>
      </c>
      <c r="I7" t="s">
        <v>24</v>
      </c>
      <c r="J7" t="s">
        <v>20</v>
      </c>
    </row>
    <row r="8" spans="1:10">
      <c r="A8" s="25">
        <v>46208</v>
      </c>
      <c r="B8" t="s">
        <v>29</v>
      </c>
      <c r="C8" s="26" t="s">
        <v>30</v>
      </c>
      <c r="D8" t="s">
        <v>31</v>
      </c>
      <c r="E8" t="s">
        <v>32</v>
      </c>
      <c r="F8">
        <v>1</v>
      </c>
      <c r="G8">
        <v>100</v>
      </c>
      <c r="H8">
        <v>0</v>
      </c>
      <c r="I8" t="s">
        <v>15</v>
      </c>
      <c r="J8" t="s">
        <v>33</v>
      </c>
    </row>
    <row r="9" spans="1:10">
      <c r="A9" s="25">
        <v>46209</v>
      </c>
      <c r="B9" t="s">
        <v>34</v>
      </c>
      <c r="C9" s="26" t="s">
        <v>27</v>
      </c>
      <c r="D9" t="s">
        <v>31</v>
      </c>
      <c r="E9" t="s">
        <v>14</v>
      </c>
      <c r="F9">
        <v>5</v>
      </c>
      <c r="G9">
        <v>50</v>
      </c>
      <c r="H9">
        <v>10</v>
      </c>
      <c r="I9" t="s">
        <v>15</v>
      </c>
      <c r="J9" t="s">
        <v>35</v>
      </c>
    </row>
    <row r="10" spans="1:10">
      <c r="A10" s="25">
        <v>46210</v>
      </c>
      <c r="B10" t="s">
        <v>36</v>
      </c>
      <c r="C10" s="26" t="s">
        <v>37</v>
      </c>
      <c r="D10" t="s">
        <v>38</v>
      </c>
      <c r="E10" t="s">
        <v>39</v>
      </c>
      <c r="F10">
        <v>4</v>
      </c>
      <c r="G10">
        <v>100</v>
      </c>
      <c r="H10">
        <v>0</v>
      </c>
      <c r="I10" t="s">
        <v>24</v>
      </c>
      <c r="J10" t="s">
        <v>25</v>
      </c>
    </row>
    <row r="11" spans="1:10">
      <c r="A11" s="25">
        <v>46211</v>
      </c>
      <c r="B11" t="s">
        <v>40</v>
      </c>
      <c r="C11" s="26" t="s">
        <v>18</v>
      </c>
      <c r="D11" t="s">
        <v>41</v>
      </c>
      <c r="E11" t="s">
        <v>42</v>
      </c>
      <c r="F11">
        <v>1</v>
      </c>
      <c r="G11">
        <v>400</v>
      </c>
      <c r="H11">
        <v>0</v>
      </c>
      <c r="I11" t="s">
        <v>43</v>
      </c>
      <c r="J11" t="s">
        <v>20</v>
      </c>
    </row>
    <row r="12" spans="1:10">
      <c r="A12" s="25">
        <v>46212</v>
      </c>
      <c r="B12" t="s">
        <v>44</v>
      </c>
      <c r="C12" s="26" t="s">
        <v>45</v>
      </c>
      <c r="D12" t="s">
        <v>38</v>
      </c>
      <c r="E12" t="s">
        <v>39</v>
      </c>
      <c r="F12">
        <v>1</v>
      </c>
      <c r="G12">
        <v>200</v>
      </c>
      <c r="H12">
        <v>10</v>
      </c>
      <c r="I12" t="s">
        <v>43</v>
      </c>
      <c r="J12" t="s">
        <v>35</v>
      </c>
    </row>
    <row r="13" spans="1:10">
      <c r="A13" s="25">
        <v>46213</v>
      </c>
      <c r="B13" t="s">
        <v>46</v>
      </c>
      <c r="C13" s="26" t="s">
        <v>47</v>
      </c>
      <c r="D13" t="s">
        <v>13</v>
      </c>
      <c r="E13" t="s">
        <v>42</v>
      </c>
      <c r="F13">
        <v>5</v>
      </c>
      <c r="G13">
        <v>100</v>
      </c>
      <c r="H13">
        <v>20</v>
      </c>
      <c r="I13" t="s">
        <v>43</v>
      </c>
      <c r="J13" t="s">
        <v>33</v>
      </c>
    </row>
    <row r="14" spans="1:10">
      <c r="A14" s="25">
        <v>46214</v>
      </c>
      <c r="B14" t="s">
        <v>48</v>
      </c>
      <c r="C14" s="26" t="s">
        <v>49</v>
      </c>
      <c r="D14" t="s">
        <v>13</v>
      </c>
      <c r="E14" t="s">
        <v>32</v>
      </c>
      <c r="F14">
        <v>4</v>
      </c>
      <c r="G14">
        <v>400</v>
      </c>
      <c r="H14">
        <v>10</v>
      </c>
      <c r="I14" t="s">
        <v>24</v>
      </c>
      <c r="J14" t="s">
        <v>20</v>
      </c>
    </row>
    <row r="15" spans="1:10">
      <c r="A15" s="25">
        <v>46215</v>
      </c>
      <c r="B15" t="s">
        <v>50</v>
      </c>
      <c r="C15" s="26" t="s">
        <v>51</v>
      </c>
      <c r="D15" t="s">
        <v>52</v>
      </c>
      <c r="E15" t="s">
        <v>14</v>
      </c>
      <c r="F15">
        <v>2</v>
      </c>
      <c r="G15">
        <v>20000</v>
      </c>
      <c r="H15">
        <v>0</v>
      </c>
      <c r="I15" t="s">
        <v>15</v>
      </c>
      <c r="J15" t="s">
        <v>16</v>
      </c>
    </row>
    <row r="16" spans="1:10">
      <c r="A16" s="25">
        <v>46216</v>
      </c>
      <c r="B16" t="s">
        <v>53</v>
      </c>
      <c r="C16" s="26" t="s">
        <v>54</v>
      </c>
      <c r="D16" t="s">
        <v>52</v>
      </c>
      <c r="E16" t="s">
        <v>32</v>
      </c>
      <c r="F16" t="s">
        <v>55</v>
      </c>
      <c r="G16">
        <v>15000</v>
      </c>
      <c r="H16">
        <v>0</v>
      </c>
      <c r="I16" t="s">
        <v>15</v>
      </c>
      <c r="J16" t="s">
        <v>33</v>
      </c>
    </row>
    <row r="17" spans="1:10">
      <c r="A17" s="25">
        <v>46217</v>
      </c>
      <c r="B17" t="s">
        <v>56</v>
      </c>
      <c r="C17" s="26" t="s">
        <v>57</v>
      </c>
      <c r="D17" t="s">
        <v>38</v>
      </c>
      <c r="E17" t="s">
        <v>42</v>
      </c>
      <c r="F17">
        <v>1</v>
      </c>
      <c r="G17">
        <v>50</v>
      </c>
      <c r="H17">
        <v>0</v>
      </c>
      <c r="I17" t="s">
        <v>15</v>
      </c>
      <c r="J17" t="s">
        <v>16</v>
      </c>
    </row>
    <row r="18" spans="1:10">
      <c r="A18" s="25">
        <v>46218</v>
      </c>
      <c r="B18" t="s">
        <v>58</v>
      </c>
      <c r="C18" s="26" t="s">
        <v>30</v>
      </c>
      <c r="D18" t="s">
        <v>59</v>
      </c>
      <c r="E18" t="s">
        <v>14</v>
      </c>
      <c r="F18">
        <v>5</v>
      </c>
      <c r="G18">
        <v>400</v>
      </c>
      <c r="H18">
        <v>0</v>
      </c>
      <c r="I18" t="s">
        <v>15</v>
      </c>
      <c r="J18" t="s">
        <v>33</v>
      </c>
    </row>
    <row r="19" spans="1:10">
      <c r="A19" s="25">
        <v>46219</v>
      </c>
      <c r="B19" t="s">
        <v>60</v>
      </c>
      <c r="C19" s="26" t="s">
        <v>45</v>
      </c>
      <c r="D19" t="s">
        <v>61</v>
      </c>
      <c r="E19" t="s">
        <v>14</v>
      </c>
      <c r="F19">
        <v>1</v>
      </c>
      <c r="G19">
        <v>20000</v>
      </c>
      <c r="H19">
        <v>10</v>
      </c>
      <c r="I19" t="s">
        <v>24</v>
      </c>
      <c r="J19" t="s">
        <v>35</v>
      </c>
    </row>
    <row r="20" spans="1:10">
      <c r="A20" s="25">
        <v>46220</v>
      </c>
      <c r="B20" t="s">
        <v>62</v>
      </c>
      <c r="C20" s="26" t="s">
        <v>57</v>
      </c>
      <c r="D20" t="s">
        <v>13</v>
      </c>
      <c r="E20" t="s">
        <v>19</v>
      </c>
      <c r="F20">
        <v>4</v>
      </c>
      <c r="G20">
        <v>400</v>
      </c>
      <c r="H20">
        <v>0</v>
      </c>
      <c r="I20" t="s">
        <v>43</v>
      </c>
      <c r="J20" t="s">
        <v>25</v>
      </c>
    </row>
    <row r="21" spans="1:10">
      <c r="A21" s="25">
        <v>46221</v>
      </c>
      <c r="B21" t="s">
        <v>63</v>
      </c>
      <c r="C21" s="26" t="s">
        <v>18</v>
      </c>
      <c r="D21" t="s">
        <v>38</v>
      </c>
      <c r="E21" t="s">
        <v>14</v>
      </c>
      <c r="F21" s="27"/>
      <c r="G21">
        <v>400</v>
      </c>
      <c r="H21">
        <v>20</v>
      </c>
      <c r="I21" t="s">
        <v>43</v>
      </c>
      <c r="J21" t="s">
        <v>35</v>
      </c>
    </row>
    <row r="22" spans="1:10">
      <c r="A22" s="25">
        <v>46222</v>
      </c>
      <c r="B22" t="s">
        <v>64</v>
      </c>
      <c r="C22" s="26" t="s">
        <v>65</v>
      </c>
      <c r="D22" t="s">
        <v>13</v>
      </c>
      <c r="E22" t="s">
        <v>14</v>
      </c>
      <c r="F22">
        <v>2</v>
      </c>
      <c r="G22">
        <v>100</v>
      </c>
      <c r="H22">
        <v>0</v>
      </c>
      <c r="I22" t="s">
        <v>24</v>
      </c>
      <c r="J22" t="s">
        <v>20</v>
      </c>
    </row>
    <row r="23" spans="1:10">
      <c r="A23" s="25">
        <v>46223</v>
      </c>
      <c r="B23" t="s">
        <v>66</v>
      </c>
      <c r="C23" s="26" t="s">
        <v>12</v>
      </c>
      <c r="D23" t="s">
        <v>41</v>
      </c>
      <c r="E23" t="s">
        <v>14</v>
      </c>
      <c r="F23">
        <v>2</v>
      </c>
      <c r="G23">
        <v>450</v>
      </c>
      <c r="H23">
        <v>20</v>
      </c>
      <c r="I23" t="s">
        <v>24</v>
      </c>
      <c r="J23" t="s">
        <v>20</v>
      </c>
    </row>
    <row r="24" spans="1:10">
      <c r="A24" s="25">
        <v>46224</v>
      </c>
      <c r="B24" t="s">
        <v>67</v>
      </c>
      <c r="C24" s="26" t="s">
        <v>49</v>
      </c>
      <c r="D24" t="s">
        <v>31</v>
      </c>
      <c r="E24" t="s">
        <v>32</v>
      </c>
      <c r="F24" t="s">
        <v>55</v>
      </c>
      <c r="G24">
        <v>100</v>
      </c>
      <c r="H24">
        <v>20</v>
      </c>
      <c r="I24" t="s">
        <v>43</v>
      </c>
      <c r="J24" t="s">
        <v>35</v>
      </c>
    </row>
    <row r="25" spans="1:10">
      <c r="A25" s="25">
        <v>46225</v>
      </c>
      <c r="B25" t="s">
        <v>68</v>
      </c>
      <c r="C25" s="26" t="s">
        <v>69</v>
      </c>
      <c r="D25" t="s">
        <v>38</v>
      </c>
      <c r="E25" t="s">
        <v>14</v>
      </c>
      <c r="F25">
        <v>2</v>
      </c>
      <c r="G25">
        <v>15000</v>
      </c>
      <c r="H25">
        <v>0</v>
      </c>
      <c r="I25" t="s">
        <v>43</v>
      </c>
      <c r="J25" t="s">
        <v>25</v>
      </c>
    </row>
    <row r="26" spans="1:10">
      <c r="A26" s="25">
        <v>46226</v>
      </c>
      <c r="B26" t="s">
        <v>70</v>
      </c>
      <c r="C26" s="26" t="s">
        <v>57</v>
      </c>
      <c r="D26" t="s">
        <v>13</v>
      </c>
      <c r="E26" t="s">
        <v>39</v>
      </c>
      <c r="F26">
        <v>2</v>
      </c>
      <c r="G26">
        <v>450</v>
      </c>
      <c r="H26">
        <v>20</v>
      </c>
      <c r="I26" t="s">
        <v>43</v>
      </c>
      <c r="J26" t="s">
        <v>16</v>
      </c>
    </row>
    <row r="27" spans="1:10">
      <c r="A27" s="25">
        <v>46227</v>
      </c>
      <c r="B27" t="s">
        <v>71</v>
      </c>
      <c r="C27" s="26" t="s">
        <v>49</v>
      </c>
      <c r="D27" t="s">
        <v>41</v>
      </c>
      <c r="E27" t="s">
        <v>14</v>
      </c>
      <c r="F27">
        <v>1</v>
      </c>
      <c r="G27">
        <v>200</v>
      </c>
      <c r="H27">
        <v>10</v>
      </c>
      <c r="I27" t="s">
        <v>24</v>
      </c>
      <c r="J27" t="s">
        <v>20</v>
      </c>
    </row>
    <row r="28" spans="1:10">
      <c r="A28" s="25">
        <v>46228</v>
      </c>
      <c r="B28" t="s">
        <v>72</v>
      </c>
      <c r="C28" s="26" t="s">
        <v>18</v>
      </c>
      <c r="D28" t="s">
        <v>38</v>
      </c>
      <c r="E28" t="s">
        <v>42</v>
      </c>
      <c r="F28">
        <f>COUNT(F21)</f>
        <v>0</v>
      </c>
      <c r="G28">
        <v>100</v>
      </c>
      <c r="H28">
        <v>0</v>
      </c>
      <c r="I28" t="s">
        <v>15</v>
      </c>
      <c r="J28" t="s">
        <v>20</v>
      </c>
    </row>
    <row r="29" spans="1:10">
      <c r="A29" s="25">
        <v>46229</v>
      </c>
      <c r="B29" t="s">
        <v>73</v>
      </c>
      <c r="C29" s="26" t="s">
        <v>18</v>
      </c>
      <c r="D29" t="s">
        <v>31</v>
      </c>
      <c r="E29" t="s">
        <v>42</v>
      </c>
      <c r="F29">
        <v>1</v>
      </c>
      <c r="G29">
        <v>450</v>
      </c>
      <c r="H29">
        <v>20</v>
      </c>
      <c r="I29" t="s">
        <v>43</v>
      </c>
      <c r="J29" t="s">
        <v>20</v>
      </c>
    </row>
    <row r="30" spans="1:10">
      <c r="A30" s="25">
        <v>46230</v>
      </c>
      <c r="B30" t="s">
        <v>74</v>
      </c>
      <c r="C30" s="26" t="s">
        <v>75</v>
      </c>
      <c r="D30" t="s">
        <v>13</v>
      </c>
      <c r="E30" t="s">
        <v>14</v>
      </c>
      <c r="F30">
        <v>4</v>
      </c>
      <c r="G30">
        <v>100</v>
      </c>
      <c r="H30">
        <v>20</v>
      </c>
      <c r="I30" t="s">
        <v>15</v>
      </c>
      <c r="J30" t="s">
        <v>25</v>
      </c>
    </row>
    <row r="31" spans="1:10">
      <c r="A31" s="25">
        <v>46231</v>
      </c>
      <c r="B31" t="s">
        <v>76</v>
      </c>
      <c r="C31" s="26" t="s">
        <v>75</v>
      </c>
      <c r="D31" t="s">
        <v>52</v>
      </c>
      <c r="E31" t="s">
        <v>32</v>
      </c>
      <c r="F31">
        <v>1</v>
      </c>
      <c r="G31">
        <v>15000</v>
      </c>
      <c r="H31">
        <v>10</v>
      </c>
      <c r="I31" t="s">
        <v>24</v>
      </c>
      <c r="J31" t="s">
        <v>20</v>
      </c>
    </row>
    <row r="32" spans="1:10">
      <c r="A32" s="25">
        <v>46232</v>
      </c>
      <c r="B32" t="s">
        <v>77</v>
      </c>
      <c r="C32" s="26" t="s">
        <v>75</v>
      </c>
      <c r="D32" t="s">
        <v>59</v>
      </c>
      <c r="E32" t="s">
        <v>14</v>
      </c>
      <c r="F32">
        <v>5</v>
      </c>
      <c r="G32">
        <v>200</v>
      </c>
      <c r="H32">
        <v>10</v>
      </c>
      <c r="I32" t="s">
        <v>24</v>
      </c>
      <c r="J32" t="s">
        <v>20</v>
      </c>
    </row>
    <row r="33" spans="1:10">
      <c r="A33" s="25">
        <v>46233</v>
      </c>
      <c r="B33" t="s">
        <v>78</v>
      </c>
      <c r="C33" s="26" t="s">
        <v>75</v>
      </c>
      <c r="D33" t="s">
        <v>79</v>
      </c>
      <c r="E33" t="s">
        <v>19</v>
      </c>
      <c r="F33">
        <v>5</v>
      </c>
      <c r="G33">
        <v>50</v>
      </c>
      <c r="H33">
        <v>0</v>
      </c>
      <c r="I33" t="s">
        <v>43</v>
      </c>
      <c r="J33" t="s">
        <v>35</v>
      </c>
    </row>
    <row r="34" spans="1:10">
      <c r="A34" s="26"/>
      <c r="B34" t="s">
        <v>80</v>
      </c>
      <c r="C34" s="26" t="s">
        <v>81</v>
      </c>
      <c r="D34" t="s">
        <v>31</v>
      </c>
      <c r="E34" t="s">
        <v>32</v>
      </c>
      <c r="F34">
        <v>2</v>
      </c>
      <c r="G34">
        <v>400</v>
      </c>
      <c r="H34">
        <v>0</v>
      </c>
      <c r="I34" t="s">
        <v>15</v>
      </c>
      <c r="J34" t="s">
        <v>16</v>
      </c>
    </row>
    <row r="35" spans="1:10">
      <c r="A35" s="25">
        <v>46235</v>
      </c>
      <c r="B35" t="s">
        <v>82</v>
      </c>
      <c r="C35" s="26" t="s">
        <v>83</v>
      </c>
      <c r="D35" t="s">
        <v>41</v>
      </c>
      <c r="E35" t="s">
        <v>42</v>
      </c>
      <c r="F35">
        <v>5</v>
      </c>
      <c r="G35">
        <v>100</v>
      </c>
      <c r="H35">
        <v>0</v>
      </c>
      <c r="I35" t="s">
        <v>24</v>
      </c>
      <c r="J35" t="s">
        <v>20</v>
      </c>
    </row>
    <row r="36" spans="1:10">
      <c r="A36" s="25">
        <v>46236</v>
      </c>
      <c r="B36" t="s">
        <v>84</v>
      </c>
      <c r="C36" s="26" t="s">
        <v>22</v>
      </c>
      <c r="D36" t="s">
        <v>23</v>
      </c>
      <c r="E36" t="s">
        <v>32</v>
      </c>
      <c r="F36">
        <v>5</v>
      </c>
      <c r="G36">
        <v>100</v>
      </c>
      <c r="H36">
        <v>10</v>
      </c>
      <c r="I36" t="s">
        <v>24</v>
      </c>
      <c r="J36" t="s">
        <v>33</v>
      </c>
    </row>
    <row r="37" spans="1:10">
      <c r="A37" s="25">
        <v>46237</v>
      </c>
      <c r="B37" t="s">
        <v>85</v>
      </c>
      <c r="C37" s="26" t="s">
        <v>86</v>
      </c>
      <c r="D37" t="s">
        <v>28</v>
      </c>
      <c r="E37" t="s">
        <v>19</v>
      </c>
      <c r="F37">
        <v>5</v>
      </c>
      <c r="G37">
        <v>450</v>
      </c>
      <c r="H37">
        <v>0</v>
      </c>
      <c r="I37" t="s">
        <v>24</v>
      </c>
      <c r="J37" t="s">
        <v>25</v>
      </c>
    </row>
    <row r="38" spans="1:10">
      <c r="A38" s="25">
        <v>46238</v>
      </c>
      <c r="B38" t="s">
        <v>87</v>
      </c>
      <c r="C38" s="26" t="s">
        <v>27</v>
      </c>
      <c r="D38" t="s">
        <v>23</v>
      </c>
      <c r="E38" t="s">
        <v>42</v>
      </c>
      <c r="F38">
        <v>5</v>
      </c>
      <c r="G38">
        <v>100</v>
      </c>
      <c r="H38">
        <v>20</v>
      </c>
      <c r="I38" t="s">
        <v>24</v>
      </c>
      <c r="J38" t="s">
        <v>25</v>
      </c>
    </row>
    <row r="39" spans="1:10">
      <c r="A39" s="25">
        <v>46239</v>
      </c>
      <c r="B39" t="s">
        <v>88</v>
      </c>
      <c r="C39" s="26" t="s">
        <v>89</v>
      </c>
      <c r="D39" t="s">
        <v>52</v>
      </c>
      <c r="E39" t="s">
        <v>32</v>
      </c>
      <c r="F39">
        <v>2</v>
      </c>
      <c r="G39">
        <v>200</v>
      </c>
      <c r="H39">
        <v>20</v>
      </c>
      <c r="I39" t="s">
        <v>24</v>
      </c>
      <c r="J39" t="s">
        <v>16</v>
      </c>
    </row>
    <row r="40" spans="1:10">
      <c r="A40" s="25">
        <v>46240</v>
      </c>
      <c r="B40" t="s">
        <v>90</v>
      </c>
      <c r="C40" s="26" t="s">
        <v>69</v>
      </c>
      <c r="D40" t="s">
        <v>41</v>
      </c>
      <c r="E40" t="s">
        <v>42</v>
      </c>
      <c r="F40">
        <v>2</v>
      </c>
      <c r="G40">
        <v>450</v>
      </c>
      <c r="H40">
        <v>0</v>
      </c>
      <c r="I40" t="s">
        <v>15</v>
      </c>
      <c r="J40" t="s">
        <v>35</v>
      </c>
    </row>
    <row r="41" spans="1:10">
      <c r="A41" s="25">
        <v>46241</v>
      </c>
      <c r="B41" t="s">
        <v>91</v>
      </c>
      <c r="C41" s="26" t="s">
        <v>49</v>
      </c>
      <c r="D41" t="s">
        <v>41</v>
      </c>
      <c r="E41" t="s">
        <v>39</v>
      </c>
      <c r="F41" t="s">
        <v>55</v>
      </c>
      <c r="G41">
        <v>20000</v>
      </c>
      <c r="H41">
        <v>0</v>
      </c>
      <c r="I41" t="s">
        <v>43</v>
      </c>
      <c r="J41" t="s">
        <v>35</v>
      </c>
    </row>
    <row r="42" spans="1:10">
      <c r="A42" s="25">
        <v>46242</v>
      </c>
      <c r="B42" t="s">
        <v>92</v>
      </c>
      <c r="C42" s="26" t="s">
        <v>83</v>
      </c>
      <c r="D42" t="s">
        <v>59</v>
      </c>
      <c r="E42" t="s">
        <v>14</v>
      </c>
      <c r="F42">
        <v>5</v>
      </c>
      <c r="G42">
        <v>450</v>
      </c>
      <c r="H42">
        <v>20</v>
      </c>
      <c r="I42" t="s">
        <v>15</v>
      </c>
      <c r="J42" t="s">
        <v>35</v>
      </c>
    </row>
    <row r="43" spans="1:10">
      <c r="A43" s="25">
        <v>46243</v>
      </c>
      <c r="B43" t="s">
        <v>93</v>
      </c>
      <c r="C43" s="26" t="s">
        <v>22</v>
      </c>
      <c r="D43" t="s">
        <v>41</v>
      </c>
      <c r="E43" t="s">
        <v>14</v>
      </c>
      <c r="F43">
        <v>1</v>
      </c>
      <c r="G43">
        <v>20000</v>
      </c>
      <c r="H43">
        <v>20</v>
      </c>
      <c r="I43" t="s">
        <v>15</v>
      </c>
      <c r="J43" t="s">
        <v>25</v>
      </c>
    </row>
    <row r="44" spans="1:10">
      <c r="A44" s="25">
        <v>46244</v>
      </c>
      <c r="B44" t="s">
        <v>94</v>
      </c>
      <c r="C44" s="26" t="s">
        <v>83</v>
      </c>
      <c r="D44" t="s">
        <v>13</v>
      </c>
      <c r="E44" t="s">
        <v>32</v>
      </c>
      <c r="F44">
        <v>3</v>
      </c>
      <c r="G44">
        <v>15000</v>
      </c>
      <c r="H44">
        <v>0</v>
      </c>
      <c r="I44" t="s">
        <v>24</v>
      </c>
      <c r="J44" t="s">
        <v>20</v>
      </c>
    </row>
    <row r="45" spans="1:10">
      <c r="A45" s="25">
        <v>46245</v>
      </c>
      <c r="B45" t="s">
        <v>95</v>
      </c>
      <c r="C45" s="26" t="s">
        <v>75</v>
      </c>
      <c r="D45" t="s">
        <v>79</v>
      </c>
      <c r="E45" t="s">
        <v>32</v>
      </c>
      <c r="F45">
        <v>4</v>
      </c>
      <c r="G45">
        <v>50</v>
      </c>
      <c r="H45">
        <v>0</v>
      </c>
      <c r="I45" t="s">
        <v>15</v>
      </c>
      <c r="J45" t="s">
        <v>33</v>
      </c>
    </row>
    <row r="46" spans="1:10">
      <c r="A46" s="25">
        <v>46246</v>
      </c>
      <c r="B46" t="s">
        <v>96</v>
      </c>
      <c r="C46" s="26" t="s">
        <v>51</v>
      </c>
      <c r="D46" t="s">
        <v>79</v>
      </c>
      <c r="E46" t="s">
        <v>42</v>
      </c>
      <c r="F46">
        <v>4</v>
      </c>
      <c r="G46">
        <v>400</v>
      </c>
      <c r="H46">
        <v>20</v>
      </c>
      <c r="I46" t="s">
        <v>43</v>
      </c>
      <c r="J46" t="s">
        <v>20</v>
      </c>
    </row>
    <row r="47" spans="1:10">
      <c r="A47" s="25">
        <v>46247</v>
      </c>
      <c r="B47" t="s">
        <v>97</v>
      </c>
      <c r="C47" s="26" t="s">
        <v>12</v>
      </c>
      <c r="D47" t="s">
        <v>23</v>
      </c>
      <c r="E47" t="s">
        <v>32</v>
      </c>
      <c r="F47">
        <v>2</v>
      </c>
      <c r="G47">
        <v>450</v>
      </c>
      <c r="H47">
        <v>20</v>
      </c>
      <c r="I47" t="s">
        <v>24</v>
      </c>
      <c r="J47" t="s">
        <v>35</v>
      </c>
    </row>
    <row r="48" spans="1:10">
      <c r="A48" s="25">
        <v>46248</v>
      </c>
      <c r="B48" t="s">
        <v>98</v>
      </c>
      <c r="C48" s="26" t="s">
        <v>22</v>
      </c>
      <c r="D48" t="s">
        <v>38</v>
      </c>
      <c r="E48" t="s">
        <v>14</v>
      </c>
      <c r="F48" s="27" t="s">
        <v>55</v>
      </c>
      <c r="G48">
        <v>20000</v>
      </c>
      <c r="H48">
        <v>0</v>
      </c>
      <c r="I48" t="s">
        <v>24</v>
      </c>
      <c r="J48" t="s">
        <v>35</v>
      </c>
    </row>
    <row r="49" spans="1:10">
      <c r="A49" s="25">
        <v>46249</v>
      </c>
      <c r="B49" t="s">
        <v>99</v>
      </c>
      <c r="C49" s="26" t="s">
        <v>86</v>
      </c>
      <c r="D49" t="s">
        <v>79</v>
      </c>
      <c r="E49" t="s">
        <v>19</v>
      </c>
      <c r="F49">
        <v>2</v>
      </c>
      <c r="G49">
        <v>100</v>
      </c>
      <c r="H49">
        <v>0</v>
      </c>
      <c r="I49" t="s">
        <v>43</v>
      </c>
      <c r="J49" t="s">
        <v>16</v>
      </c>
    </row>
    <row r="50" spans="1:10">
      <c r="A50" s="25">
        <v>46250</v>
      </c>
      <c r="B50" t="s">
        <v>100</v>
      </c>
      <c r="C50" s="26" t="s">
        <v>54</v>
      </c>
      <c r="D50" t="s">
        <v>38</v>
      </c>
      <c r="E50" t="s">
        <v>39</v>
      </c>
      <c r="F50" s="27" t="s">
        <v>55</v>
      </c>
      <c r="G50">
        <v>450</v>
      </c>
      <c r="H50">
        <v>0</v>
      </c>
      <c r="I50" t="s">
        <v>24</v>
      </c>
      <c r="J50" t="s">
        <v>33</v>
      </c>
    </row>
    <row r="51" spans="1:10">
      <c r="A51" s="25">
        <v>46251</v>
      </c>
      <c r="B51" t="s">
        <v>101</v>
      </c>
      <c r="C51" s="26" t="s">
        <v>102</v>
      </c>
      <c r="D51" t="s">
        <v>38</v>
      </c>
      <c r="E51" t="s">
        <v>19</v>
      </c>
      <c r="F51">
        <v>2</v>
      </c>
      <c r="G51">
        <v>50</v>
      </c>
      <c r="H51">
        <v>0</v>
      </c>
      <c r="I51" t="s">
        <v>15</v>
      </c>
      <c r="J51" t="s">
        <v>35</v>
      </c>
    </row>
    <row r="52" spans="1:10">
      <c r="A52" s="25">
        <v>46252</v>
      </c>
      <c r="B52" t="s">
        <v>103</v>
      </c>
      <c r="C52" s="26" t="s">
        <v>12</v>
      </c>
      <c r="D52" t="s">
        <v>61</v>
      </c>
      <c r="E52" t="s">
        <v>42</v>
      </c>
      <c r="F52">
        <v>5</v>
      </c>
      <c r="G52">
        <v>15000</v>
      </c>
      <c r="H52">
        <v>0</v>
      </c>
      <c r="I52" t="s">
        <v>15</v>
      </c>
      <c r="J52" t="s">
        <v>25</v>
      </c>
    </row>
    <row r="53" spans="1:10">
      <c r="A53" s="25">
        <v>46253</v>
      </c>
      <c r="B53" t="s">
        <v>104</v>
      </c>
      <c r="C53" s="26" t="s">
        <v>69</v>
      </c>
      <c r="D53" t="s">
        <v>23</v>
      </c>
      <c r="E53" t="s">
        <v>39</v>
      </c>
      <c r="F53">
        <v>3</v>
      </c>
      <c r="G53">
        <v>50</v>
      </c>
      <c r="H53">
        <v>0</v>
      </c>
      <c r="I53" t="s">
        <v>15</v>
      </c>
      <c r="J53" t="s">
        <v>20</v>
      </c>
    </row>
    <row r="54" spans="1:10">
      <c r="A54" s="25">
        <v>46254</v>
      </c>
      <c r="B54" t="s">
        <v>105</v>
      </c>
      <c r="C54" s="26" t="s">
        <v>54</v>
      </c>
      <c r="D54" t="s">
        <v>61</v>
      </c>
      <c r="E54" t="s">
        <v>32</v>
      </c>
      <c r="F54">
        <v>4</v>
      </c>
      <c r="G54">
        <v>400</v>
      </c>
      <c r="H54">
        <v>10</v>
      </c>
      <c r="I54" t="s">
        <v>24</v>
      </c>
      <c r="J54" t="s">
        <v>20</v>
      </c>
    </row>
    <row r="55" spans="1:10">
      <c r="A55" s="25">
        <v>46255</v>
      </c>
      <c r="B55" t="s">
        <v>106</v>
      </c>
      <c r="C55" s="26" t="s">
        <v>12</v>
      </c>
      <c r="D55" t="s">
        <v>13</v>
      </c>
      <c r="E55" t="s">
        <v>42</v>
      </c>
      <c r="F55">
        <v>2</v>
      </c>
      <c r="G55">
        <v>400</v>
      </c>
      <c r="H55">
        <v>0</v>
      </c>
      <c r="I55" t="s">
        <v>43</v>
      </c>
      <c r="J55" t="s">
        <v>25</v>
      </c>
    </row>
    <row r="56" spans="1:10">
      <c r="A56" s="25">
        <v>46256</v>
      </c>
      <c r="B56" t="s">
        <v>107</v>
      </c>
      <c r="C56" s="26" t="s">
        <v>108</v>
      </c>
      <c r="D56" t="s">
        <v>13</v>
      </c>
      <c r="E56" t="s">
        <v>42</v>
      </c>
      <c r="F56">
        <v>5</v>
      </c>
      <c r="G56">
        <v>450</v>
      </c>
      <c r="H56">
        <v>0</v>
      </c>
      <c r="I56" t="s">
        <v>24</v>
      </c>
      <c r="J56" t="s">
        <v>25</v>
      </c>
    </row>
    <row r="57" spans="1:10">
      <c r="A57" s="25">
        <v>46257</v>
      </c>
      <c r="B57" t="s">
        <v>109</v>
      </c>
      <c r="C57" s="26" t="s">
        <v>51</v>
      </c>
      <c r="D57" t="s">
        <v>31</v>
      </c>
      <c r="E57" t="s">
        <v>39</v>
      </c>
      <c r="F57">
        <v>2</v>
      </c>
      <c r="G57">
        <v>15000</v>
      </c>
      <c r="H57">
        <v>0</v>
      </c>
      <c r="I57" t="s">
        <v>24</v>
      </c>
      <c r="J57" t="s">
        <v>25</v>
      </c>
    </row>
    <row r="58" spans="1:10">
      <c r="A58" s="25">
        <v>46258</v>
      </c>
      <c r="B58" t="s">
        <v>110</v>
      </c>
      <c r="C58" s="26" t="s">
        <v>37</v>
      </c>
      <c r="D58" t="s">
        <v>61</v>
      </c>
      <c r="E58" t="s">
        <v>19</v>
      </c>
      <c r="F58">
        <v>1</v>
      </c>
      <c r="G58">
        <v>15000</v>
      </c>
      <c r="H58">
        <v>0</v>
      </c>
      <c r="I58" t="s">
        <v>15</v>
      </c>
      <c r="J58" t="s">
        <v>25</v>
      </c>
    </row>
    <row r="59" spans="1:10">
      <c r="A59" s="25">
        <v>46259</v>
      </c>
      <c r="B59" t="s">
        <v>111</v>
      </c>
      <c r="C59" s="26" t="s">
        <v>45</v>
      </c>
      <c r="D59" t="s">
        <v>59</v>
      </c>
      <c r="E59" t="s">
        <v>14</v>
      </c>
      <c r="F59">
        <v>3</v>
      </c>
      <c r="G59">
        <v>200</v>
      </c>
      <c r="H59">
        <v>20</v>
      </c>
      <c r="I59" t="s">
        <v>24</v>
      </c>
      <c r="J59" t="s">
        <v>16</v>
      </c>
    </row>
    <row r="60" spans="1:10">
      <c r="A60" s="25">
        <v>46260</v>
      </c>
      <c r="B60" t="s">
        <v>112</v>
      </c>
      <c r="C60" s="26" t="s">
        <v>54</v>
      </c>
      <c r="D60" t="s">
        <v>52</v>
      </c>
      <c r="E60" t="s">
        <v>32</v>
      </c>
      <c r="F60">
        <v>1</v>
      </c>
      <c r="G60">
        <v>200</v>
      </c>
      <c r="H60">
        <v>20</v>
      </c>
      <c r="I60" t="s">
        <v>24</v>
      </c>
      <c r="J60" t="s">
        <v>20</v>
      </c>
    </row>
    <row r="61" spans="1:10">
      <c r="A61" s="25">
        <v>46261</v>
      </c>
      <c r="B61" t="s">
        <v>113</v>
      </c>
      <c r="C61" s="26" t="s">
        <v>30</v>
      </c>
      <c r="D61" t="s">
        <v>28</v>
      </c>
      <c r="E61" t="s">
        <v>19</v>
      </c>
      <c r="F61">
        <v>2</v>
      </c>
      <c r="G61">
        <v>200</v>
      </c>
      <c r="H61">
        <v>0</v>
      </c>
      <c r="I61" t="s">
        <v>15</v>
      </c>
      <c r="J61" t="s">
        <v>33</v>
      </c>
    </row>
    <row r="62" spans="1:10">
      <c r="A62" s="25">
        <v>46262</v>
      </c>
      <c r="B62" t="s">
        <v>114</v>
      </c>
      <c r="C62" s="26" t="s">
        <v>18</v>
      </c>
      <c r="D62" t="s">
        <v>13</v>
      </c>
      <c r="E62" t="s">
        <v>42</v>
      </c>
      <c r="F62">
        <v>2</v>
      </c>
      <c r="G62">
        <v>20000</v>
      </c>
      <c r="H62">
        <v>0</v>
      </c>
      <c r="I62" t="s">
        <v>24</v>
      </c>
      <c r="J62" t="s">
        <v>25</v>
      </c>
    </row>
    <row r="63" spans="1:10">
      <c r="A63" s="25">
        <v>46263</v>
      </c>
      <c r="B63" t="s">
        <v>115</v>
      </c>
      <c r="C63" s="26" t="s">
        <v>37</v>
      </c>
      <c r="D63" t="s">
        <v>23</v>
      </c>
      <c r="E63" t="s">
        <v>19</v>
      </c>
      <c r="F63">
        <v>2</v>
      </c>
      <c r="G63">
        <v>20000</v>
      </c>
      <c r="H63">
        <v>10</v>
      </c>
      <c r="I63" t="s">
        <v>15</v>
      </c>
      <c r="J63" t="s">
        <v>35</v>
      </c>
    </row>
    <row r="64" spans="1:10">
      <c r="A64" s="25">
        <v>46264</v>
      </c>
      <c r="B64" t="s">
        <v>116</v>
      </c>
      <c r="C64" s="26" t="s">
        <v>45</v>
      </c>
      <c r="D64" t="s">
        <v>41</v>
      </c>
      <c r="E64" t="s">
        <v>42</v>
      </c>
      <c r="F64">
        <v>5</v>
      </c>
      <c r="G64">
        <v>50</v>
      </c>
      <c r="H64">
        <v>0</v>
      </c>
      <c r="I64" t="s">
        <v>43</v>
      </c>
      <c r="J64" t="s">
        <v>20</v>
      </c>
    </row>
    <row r="65" spans="1:10">
      <c r="A65" s="25">
        <v>46265</v>
      </c>
      <c r="B65" t="s">
        <v>117</v>
      </c>
      <c r="C65" s="26" t="s">
        <v>18</v>
      </c>
      <c r="D65" t="s">
        <v>13</v>
      </c>
      <c r="E65" t="s">
        <v>14</v>
      </c>
      <c r="F65">
        <v>3</v>
      </c>
      <c r="G65">
        <v>50</v>
      </c>
      <c r="H65">
        <v>0</v>
      </c>
      <c r="I65" t="s">
        <v>43</v>
      </c>
      <c r="J65" t="s">
        <v>35</v>
      </c>
    </row>
    <row r="66" spans="1:10">
      <c r="A66" s="25">
        <v>46266</v>
      </c>
      <c r="B66" t="s">
        <v>118</v>
      </c>
      <c r="C66" s="26" t="s">
        <v>51</v>
      </c>
      <c r="D66" t="s">
        <v>38</v>
      </c>
      <c r="E66" t="s">
        <v>42</v>
      </c>
      <c r="F66">
        <v>4</v>
      </c>
      <c r="G66">
        <v>20000</v>
      </c>
      <c r="H66">
        <v>10</v>
      </c>
      <c r="I66" t="s">
        <v>24</v>
      </c>
      <c r="J66" t="s">
        <v>33</v>
      </c>
    </row>
    <row r="67" spans="1:10">
      <c r="A67" s="25">
        <v>46267</v>
      </c>
      <c r="B67" t="s">
        <v>119</v>
      </c>
      <c r="C67" s="26" t="s">
        <v>37</v>
      </c>
      <c r="D67" t="s">
        <v>13</v>
      </c>
      <c r="E67" t="s">
        <v>19</v>
      </c>
      <c r="F67">
        <v>2</v>
      </c>
      <c r="G67">
        <v>20000</v>
      </c>
      <c r="H67">
        <v>10</v>
      </c>
      <c r="I67" t="s">
        <v>15</v>
      </c>
      <c r="J67" t="s">
        <v>25</v>
      </c>
    </row>
    <row r="68" spans="1:10">
      <c r="A68" s="25">
        <v>46268</v>
      </c>
      <c r="B68" t="s">
        <v>120</v>
      </c>
      <c r="C68" s="26" t="s">
        <v>83</v>
      </c>
      <c r="D68" t="s">
        <v>38</v>
      </c>
      <c r="E68" t="s">
        <v>14</v>
      </c>
      <c r="F68">
        <v>3</v>
      </c>
      <c r="G68">
        <v>450</v>
      </c>
      <c r="H68">
        <v>0</v>
      </c>
      <c r="I68" t="s">
        <v>43</v>
      </c>
      <c r="J68" t="s">
        <v>20</v>
      </c>
    </row>
    <row r="69" spans="1:10">
      <c r="A69" s="25">
        <v>46269</v>
      </c>
      <c r="B69" t="s">
        <v>121</v>
      </c>
      <c r="C69" s="26" t="s">
        <v>83</v>
      </c>
      <c r="D69" t="s">
        <v>61</v>
      </c>
      <c r="E69" t="s">
        <v>39</v>
      </c>
      <c r="F69">
        <v>2</v>
      </c>
      <c r="G69">
        <v>400</v>
      </c>
      <c r="H69">
        <v>20</v>
      </c>
      <c r="I69" t="s">
        <v>15</v>
      </c>
      <c r="J69" t="s">
        <v>20</v>
      </c>
    </row>
    <row r="70" spans="1:10">
      <c r="A70" s="25">
        <v>46270</v>
      </c>
      <c r="B70" t="s">
        <v>122</v>
      </c>
      <c r="C70" s="26" t="s">
        <v>102</v>
      </c>
      <c r="D70" t="s">
        <v>13</v>
      </c>
      <c r="E70" t="s">
        <v>19</v>
      </c>
      <c r="F70">
        <v>2</v>
      </c>
      <c r="G70">
        <v>200</v>
      </c>
      <c r="H70">
        <v>20</v>
      </c>
      <c r="I70" t="s">
        <v>15</v>
      </c>
      <c r="J70" t="s">
        <v>20</v>
      </c>
    </row>
    <row r="71" spans="1:10">
      <c r="A71" s="25">
        <v>46271</v>
      </c>
      <c r="B71" t="s">
        <v>123</v>
      </c>
      <c r="C71" s="26" t="s">
        <v>89</v>
      </c>
      <c r="D71" t="s">
        <v>59</v>
      </c>
      <c r="E71" t="s">
        <v>42</v>
      </c>
      <c r="F71">
        <v>1</v>
      </c>
      <c r="G71">
        <v>20000</v>
      </c>
      <c r="H71">
        <v>20</v>
      </c>
      <c r="I71" t="s">
        <v>24</v>
      </c>
      <c r="J71" t="s">
        <v>25</v>
      </c>
    </row>
    <row r="72" spans="1:10">
      <c r="A72" s="25">
        <v>46272</v>
      </c>
      <c r="B72" t="s">
        <v>124</v>
      </c>
      <c r="C72" s="26" t="s">
        <v>45</v>
      </c>
      <c r="D72" t="s">
        <v>61</v>
      </c>
      <c r="E72" t="s">
        <v>32</v>
      </c>
      <c r="F72">
        <v>1</v>
      </c>
      <c r="G72">
        <v>100</v>
      </c>
      <c r="H72">
        <v>0</v>
      </c>
      <c r="I72" t="s">
        <v>43</v>
      </c>
      <c r="J72" t="s">
        <v>25</v>
      </c>
    </row>
    <row r="73" spans="1:10">
      <c r="A73" s="25">
        <v>46273</v>
      </c>
      <c r="B73" t="s">
        <v>125</v>
      </c>
      <c r="C73" s="26" t="s">
        <v>108</v>
      </c>
      <c r="D73" t="s">
        <v>13</v>
      </c>
      <c r="E73" t="s">
        <v>19</v>
      </c>
      <c r="F73">
        <v>1</v>
      </c>
      <c r="G73">
        <v>200</v>
      </c>
      <c r="H73">
        <v>0</v>
      </c>
      <c r="I73" t="s">
        <v>15</v>
      </c>
      <c r="J73" t="s">
        <v>33</v>
      </c>
    </row>
    <row r="74" spans="1:10">
      <c r="A74" s="25">
        <v>46274</v>
      </c>
      <c r="B74" t="s">
        <v>126</v>
      </c>
      <c r="C74" s="26" t="s">
        <v>83</v>
      </c>
      <c r="D74" t="s">
        <v>61</v>
      </c>
      <c r="E74" t="s">
        <v>39</v>
      </c>
      <c r="F74">
        <v>2</v>
      </c>
      <c r="G74">
        <v>450</v>
      </c>
      <c r="H74">
        <v>10</v>
      </c>
      <c r="I74" t="s">
        <v>43</v>
      </c>
      <c r="J74" t="s">
        <v>25</v>
      </c>
    </row>
    <row r="75" spans="1:10">
      <c r="A75" s="25">
        <v>46275</v>
      </c>
      <c r="B75" t="s">
        <v>127</v>
      </c>
      <c r="C75" s="26" t="s">
        <v>27</v>
      </c>
      <c r="D75" t="s">
        <v>61</v>
      </c>
      <c r="E75" t="s">
        <v>42</v>
      </c>
      <c r="F75">
        <v>2</v>
      </c>
      <c r="G75">
        <v>200</v>
      </c>
      <c r="H75">
        <v>20</v>
      </c>
      <c r="I75" t="s">
        <v>15</v>
      </c>
      <c r="J75" t="s">
        <v>33</v>
      </c>
    </row>
    <row r="76" spans="1:10">
      <c r="A76" s="25">
        <v>46276</v>
      </c>
      <c r="B76" t="s">
        <v>128</v>
      </c>
      <c r="C76" s="26" t="s">
        <v>86</v>
      </c>
      <c r="D76" t="s">
        <v>52</v>
      </c>
      <c r="E76" t="s">
        <v>14</v>
      </c>
      <c r="F76">
        <v>1</v>
      </c>
      <c r="G76">
        <v>450</v>
      </c>
      <c r="H76">
        <v>10</v>
      </c>
      <c r="I76" t="s">
        <v>24</v>
      </c>
      <c r="J76" t="s">
        <v>16</v>
      </c>
    </row>
    <row r="77" spans="1:10">
      <c r="A77" s="25">
        <v>46277</v>
      </c>
      <c r="B77" t="s">
        <v>129</v>
      </c>
      <c r="C77" s="26" t="s">
        <v>54</v>
      </c>
      <c r="D77" t="s">
        <v>61</v>
      </c>
      <c r="E77" t="s">
        <v>42</v>
      </c>
      <c r="F77" t="s">
        <v>55</v>
      </c>
      <c r="G77">
        <v>20000</v>
      </c>
      <c r="H77">
        <v>20</v>
      </c>
      <c r="I77" t="s">
        <v>43</v>
      </c>
      <c r="J77" t="s">
        <v>16</v>
      </c>
    </row>
    <row r="78" spans="1:10">
      <c r="A78" s="25">
        <v>46278</v>
      </c>
      <c r="B78" t="s">
        <v>130</v>
      </c>
      <c r="C78" s="26" t="s">
        <v>86</v>
      </c>
      <c r="D78" t="s">
        <v>38</v>
      </c>
      <c r="E78" t="s">
        <v>19</v>
      </c>
      <c r="F78">
        <v>3</v>
      </c>
      <c r="G78">
        <v>20000</v>
      </c>
      <c r="H78">
        <v>0</v>
      </c>
      <c r="I78" t="s">
        <v>43</v>
      </c>
      <c r="J78" t="s">
        <v>33</v>
      </c>
    </row>
    <row r="79" spans="1:10">
      <c r="A79" s="25">
        <v>46279</v>
      </c>
      <c r="B79" t="s">
        <v>131</v>
      </c>
      <c r="C79" s="26" t="s">
        <v>45</v>
      </c>
      <c r="D79" t="s">
        <v>28</v>
      </c>
      <c r="E79" t="s">
        <v>32</v>
      </c>
      <c r="F79">
        <v>2</v>
      </c>
      <c r="G79">
        <v>20000</v>
      </c>
      <c r="H79">
        <v>0</v>
      </c>
      <c r="I79" t="s">
        <v>24</v>
      </c>
      <c r="J79" t="s">
        <v>16</v>
      </c>
    </row>
    <row r="80" spans="1:10">
      <c r="A80" s="25">
        <v>46280</v>
      </c>
      <c r="B80" t="s">
        <v>132</v>
      </c>
      <c r="C80" s="26" t="s">
        <v>22</v>
      </c>
      <c r="D80" t="s">
        <v>31</v>
      </c>
      <c r="E80" t="s">
        <v>39</v>
      </c>
      <c r="F80">
        <v>5</v>
      </c>
      <c r="G80">
        <v>400</v>
      </c>
      <c r="H80">
        <v>20</v>
      </c>
      <c r="I80" t="s">
        <v>43</v>
      </c>
      <c r="J80" t="s">
        <v>25</v>
      </c>
    </row>
    <row r="81" spans="1:10">
      <c r="A81" s="25">
        <v>46281</v>
      </c>
      <c r="B81" t="s">
        <v>133</v>
      </c>
      <c r="C81" s="26" t="s">
        <v>18</v>
      </c>
      <c r="D81" t="s">
        <v>59</v>
      </c>
      <c r="E81" t="s">
        <v>39</v>
      </c>
      <c r="F81">
        <v>1</v>
      </c>
      <c r="G81">
        <v>100</v>
      </c>
      <c r="H81">
        <v>0</v>
      </c>
      <c r="I81" t="s">
        <v>24</v>
      </c>
      <c r="J81" t="s">
        <v>25</v>
      </c>
    </row>
    <row r="82" spans="1:10">
      <c r="A82" s="25">
        <v>46282</v>
      </c>
      <c r="B82" t="s">
        <v>134</v>
      </c>
      <c r="C82" s="26" t="s">
        <v>54</v>
      </c>
      <c r="D82" t="s">
        <v>59</v>
      </c>
      <c r="E82" t="s">
        <v>19</v>
      </c>
      <c r="F82">
        <v>2</v>
      </c>
      <c r="G82">
        <v>20000</v>
      </c>
      <c r="H82">
        <v>10</v>
      </c>
      <c r="I82" t="s">
        <v>43</v>
      </c>
      <c r="J82" t="s">
        <v>25</v>
      </c>
    </row>
    <row r="83" spans="1:10">
      <c r="A83" s="25">
        <v>46283</v>
      </c>
      <c r="B83" t="s">
        <v>135</v>
      </c>
      <c r="C83" s="26" t="s">
        <v>102</v>
      </c>
      <c r="D83" t="s">
        <v>59</v>
      </c>
      <c r="E83" t="s">
        <v>39</v>
      </c>
      <c r="F83">
        <v>2</v>
      </c>
      <c r="G83">
        <v>50</v>
      </c>
      <c r="H83">
        <v>20</v>
      </c>
      <c r="I83" t="s">
        <v>24</v>
      </c>
      <c r="J83" t="s">
        <v>33</v>
      </c>
    </row>
    <row r="84" spans="1:10">
      <c r="A84" s="25">
        <v>46284</v>
      </c>
      <c r="B84" t="s">
        <v>136</v>
      </c>
      <c r="C84" s="26" t="s">
        <v>45</v>
      </c>
      <c r="D84" t="s">
        <v>38</v>
      </c>
      <c r="E84" t="s">
        <v>32</v>
      </c>
      <c r="F84">
        <v>2</v>
      </c>
      <c r="G84">
        <v>15000</v>
      </c>
      <c r="H84">
        <v>10</v>
      </c>
      <c r="I84" t="s">
        <v>43</v>
      </c>
      <c r="J84" t="s">
        <v>25</v>
      </c>
    </row>
    <row r="85" spans="1:10">
      <c r="A85" s="25">
        <v>46285</v>
      </c>
      <c r="B85" t="s">
        <v>137</v>
      </c>
      <c r="C85" s="26" t="s">
        <v>22</v>
      </c>
      <c r="D85" t="s">
        <v>61</v>
      </c>
      <c r="E85" t="s">
        <v>39</v>
      </c>
      <c r="F85">
        <v>2</v>
      </c>
      <c r="G85">
        <v>20000</v>
      </c>
      <c r="H85">
        <v>10</v>
      </c>
      <c r="I85" t="s">
        <v>43</v>
      </c>
      <c r="J85" t="s">
        <v>25</v>
      </c>
    </row>
    <row r="86" spans="1:10">
      <c r="A86" s="25">
        <v>46286</v>
      </c>
      <c r="B86" t="s">
        <v>138</v>
      </c>
      <c r="C86" s="26" t="s">
        <v>22</v>
      </c>
      <c r="D86" t="s">
        <v>13</v>
      </c>
      <c r="E86" t="s">
        <v>39</v>
      </c>
      <c r="F86">
        <v>3</v>
      </c>
      <c r="G86">
        <v>200</v>
      </c>
      <c r="H86">
        <v>20</v>
      </c>
      <c r="I86" t="s">
        <v>15</v>
      </c>
      <c r="J86" t="s">
        <v>20</v>
      </c>
    </row>
    <row r="87" spans="1:10">
      <c r="A87" s="25">
        <v>46287</v>
      </c>
      <c r="B87" t="s">
        <v>139</v>
      </c>
      <c r="C87" s="26" t="s">
        <v>27</v>
      </c>
      <c r="D87" t="s">
        <v>23</v>
      </c>
      <c r="E87" t="s">
        <v>39</v>
      </c>
      <c r="F87">
        <v>4</v>
      </c>
      <c r="G87">
        <v>50</v>
      </c>
      <c r="H87">
        <v>20</v>
      </c>
      <c r="I87" t="s">
        <v>15</v>
      </c>
      <c r="J87" t="s">
        <v>35</v>
      </c>
    </row>
    <row r="88" spans="1:10">
      <c r="A88" s="25">
        <v>46288</v>
      </c>
      <c r="B88" t="s">
        <v>140</v>
      </c>
      <c r="C88" s="26" t="s">
        <v>12</v>
      </c>
      <c r="D88" t="s">
        <v>38</v>
      </c>
      <c r="E88" t="s">
        <v>32</v>
      </c>
      <c r="F88">
        <v>2</v>
      </c>
      <c r="G88">
        <v>450</v>
      </c>
      <c r="H88">
        <v>20</v>
      </c>
      <c r="I88" t="s">
        <v>24</v>
      </c>
      <c r="J88" t="s">
        <v>20</v>
      </c>
    </row>
    <row r="89" spans="1:10">
      <c r="A89" s="25">
        <v>46289</v>
      </c>
      <c r="B89" t="s">
        <v>141</v>
      </c>
      <c r="C89" s="26" t="s">
        <v>69</v>
      </c>
      <c r="D89" t="s">
        <v>31</v>
      </c>
      <c r="E89" t="s">
        <v>32</v>
      </c>
      <c r="F89">
        <v>2</v>
      </c>
      <c r="G89">
        <v>20000</v>
      </c>
      <c r="H89">
        <v>0</v>
      </c>
      <c r="I89" t="s">
        <v>43</v>
      </c>
      <c r="J89" t="s">
        <v>16</v>
      </c>
    </row>
    <row r="90" spans="1:10">
      <c r="A90" s="25">
        <v>46290</v>
      </c>
      <c r="B90" t="s">
        <v>142</v>
      </c>
      <c r="C90" s="26" t="s">
        <v>27</v>
      </c>
      <c r="D90" t="s">
        <v>31</v>
      </c>
      <c r="E90" t="s">
        <v>14</v>
      </c>
      <c r="F90" t="s">
        <v>55</v>
      </c>
      <c r="G90">
        <v>450</v>
      </c>
      <c r="H90">
        <v>10</v>
      </c>
      <c r="I90" t="s">
        <v>24</v>
      </c>
      <c r="J90" t="s">
        <v>25</v>
      </c>
    </row>
    <row r="91" spans="1:10">
      <c r="A91" s="25">
        <v>46291</v>
      </c>
      <c r="B91" t="s">
        <v>143</v>
      </c>
      <c r="C91" s="26" t="s">
        <v>86</v>
      </c>
      <c r="D91" t="s">
        <v>13</v>
      </c>
      <c r="E91" t="s">
        <v>32</v>
      </c>
      <c r="F91">
        <v>2</v>
      </c>
      <c r="G91">
        <v>100</v>
      </c>
      <c r="H91">
        <v>0</v>
      </c>
      <c r="I91" t="s">
        <v>15</v>
      </c>
      <c r="J91" t="s">
        <v>16</v>
      </c>
    </row>
    <row r="92" spans="1:10">
      <c r="A92" s="25">
        <v>46292</v>
      </c>
      <c r="B92" t="s">
        <v>144</v>
      </c>
      <c r="C92" s="26" t="s">
        <v>89</v>
      </c>
      <c r="D92" t="s">
        <v>13</v>
      </c>
      <c r="E92" t="s">
        <v>32</v>
      </c>
      <c r="F92">
        <v>4</v>
      </c>
      <c r="G92">
        <v>15000</v>
      </c>
      <c r="H92">
        <v>20</v>
      </c>
      <c r="I92" t="s">
        <v>24</v>
      </c>
      <c r="J92" t="s">
        <v>16</v>
      </c>
    </row>
    <row r="93" spans="1:10">
      <c r="A93" s="25">
        <v>46293</v>
      </c>
      <c r="B93" t="s">
        <v>145</v>
      </c>
      <c r="C93" s="26" t="s">
        <v>75</v>
      </c>
      <c r="D93" t="s">
        <v>79</v>
      </c>
      <c r="E93" t="s">
        <v>32</v>
      </c>
      <c r="F93">
        <v>2</v>
      </c>
      <c r="G93">
        <v>100</v>
      </c>
      <c r="H93">
        <v>20</v>
      </c>
      <c r="I93" t="s">
        <v>24</v>
      </c>
      <c r="J93" t="s">
        <v>16</v>
      </c>
    </row>
    <row r="94" spans="1:10">
      <c r="A94" s="25">
        <v>46294</v>
      </c>
      <c r="B94" t="s">
        <v>146</v>
      </c>
      <c r="C94" s="26" t="s">
        <v>47</v>
      </c>
      <c r="D94" t="s">
        <v>41</v>
      </c>
      <c r="E94" t="s">
        <v>42</v>
      </c>
      <c r="F94" t="s">
        <v>55</v>
      </c>
      <c r="G94">
        <v>50</v>
      </c>
      <c r="H94">
        <v>20</v>
      </c>
      <c r="I94" t="s">
        <v>15</v>
      </c>
      <c r="J94" t="s">
        <v>33</v>
      </c>
    </row>
    <row r="95" spans="1:10">
      <c r="A95" s="25">
        <v>46295</v>
      </c>
      <c r="B95" t="s">
        <v>147</v>
      </c>
      <c r="C95" s="26" t="s">
        <v>81</v>
      </c>
      <c r="D95" t="s">
        <v>31</v>
      </c>
      <c r="E95" t="s">
        <v>32</v>
      </c>
      <c r="F95">
        <v>5</v>
      </c>
      <c r="G95">
        <v>200</v>
      </c>
      <c r="H95">
        <v>0</v>
      </c>
      <c r="I95" t="s">
        <v>24</v>
      </c>
      <c r="J95" t="s">
        <v>20</v>
      </c>
    </row>
    <row r="96" spans="1:10">
      <c r="A96" s="25">
        <v>46296</v>
      </c>
      <c r="B96" t="s">
        <v>148</v>
      </c>
      <c r="C96" s="26" t="s">
        <v>83</v>
      </c>
      <c r="D96" t="s">
        <v>52</v>
      </c>
      <c r="E96" t="s">
        <v>42</v>
      </c>
      <c r="F96">
        <v>3</v>
      </c>
      <c r="G96">
        <v>50</v>
      </c>
      <c r="H96">
        <v>0</v>
      </c>
      <c r="I96" t="s">
        <v>43</v>
      </c>
      <c r="J96" t="s">
        <v>16</v>
      </c>
    </row>
    <row r="97" spans="1:10">
      <c r="A97" s="25">
        <v>46297</v>
      </c>
      <c r="B97" t="s">
        <v>149</v>
      </c>
      <c r="C97" s="26" t="s">
        <v>22</v>
      </c>
      <c r="D97" t="s">
        <v>61</v>
      </c>
      <c r="E97" t="s">
        <v>19</v>
      </c>
      <c r="F97">
        <v>2</v>
      </c>
      <c r="G97">
        <v>20000</v>
      </c>
      <c r="H97">
        <v>0</v>
      </c>
      <c r="I97" t="s">
        <v>43</v>
      </c>
      <c r="J97" t="s">
        <v>25</v>
      </c>
    </row>
    <row r="98" spans="1:10">
      <c r="A98" s="25">
        <v>46298</v>
      </c>
      <c r="B98" t="s">
        <v>150</v>
      </c>
      <c r="C98" s="26" t="s">
        <v>65</v>
      </c>
      <c r="D98" t="s">
        <v>52</v>
      </c>
      <c r="E98" t="s">
        <v>32</v>
      </c>
      <c r="F98">
        <v>1</v>
      </c>
      <c r="G98">
        <v>200</v>
      </c>
      <c r="H98">
        <v>20</v>
      </c>
      <c r="I98" t="s">
        <v>15</v>
      </c>
      <c r="J98" t="s">
        <v>35</v>
      </c>
    </row>
    <row r="99" spans="1:10">
      <c r="A99" s="25">
        <v>46299</v>
      </c>
      <c r="B99" t="s">
        <v>151</v>
      </c>
      <c r="C99" s="26" t="s">
        <v>45</v>
      </c>
      <c r="D99" t="s">
        <v>28</v>
      </c>
      <c r="E99" t="s">
        <v>42</v>
      </c>
      <c r="F99">
        <v>2</v>
      </c>
      <c r="G99">
        <v>400</v>
      </c>
      <c r="H99">
        <v>0</v>
      </c>
      <c r="I99" t="s">
        <v>15</v>
      </c>
      <c r="J99" t="s">
        <v>16</v>
      </c>
    </row>
    <row r="100" spans="1:10">
      <c r="A100" s="25">
        <v>46300</v>
      </c>
      <c r="B100" t="s">
        <v>152</v>
      </c>
      <c r="C100" s="26" t="s">
        <v>83</v>
      </c>
      <c r="D100" t="s">
        <v>59</v>
      </c>
      <c r="E100" t="s">
        <v>14</v>
      </c>
      <c r="F100" t="s">
        <v>55</v>
      </c>
      <c r="G100">
        <v>450</v>
      </c>
      <c r="H100">
        <v>10</v>
      </c>
      <c r="I100" t="s">
        <v>24</v>
      </c>
      <c r="J100" t="s">
        <v>33</v>
      </c>
    </row>
    <row r="101" spans="1:10">
      <c r="A101" s="25">
        <v>46301</v>
      </c>
      <c r="B101" t="s">
        <v>153</v>
      </c>
      <c r="C101" s="26" t="s">
        <v>89</v>
      </c>
      <c r="D101" t="s">
        <v>61</v>
      </c>
      <c r="E101" t="s">
        <v>14</v>
      </c>
      <c r="F101">
        <v>1</v>
      </c>
      <c r="G101">
        <v>50</v>
      </c>
      <c r="H101">
        <v>0</v>
      </c>
      <c r="I101" t="s">
        <v>43</v>
      </c>
      <c r="J101" t="s">
        <v>35</v>
      </c>
    </row>
    <row r="102" spans="1:10">
      <c r="A102" s="25">
        <v>46302</v>
      </c>
      <c r="B102" t="s">
        <v>154</v>
      </c>
      <c r="C102" s="26" t="s">
        <v>69</v>
      </c>
      <c r="D102" t="s">
        <v>28</v>
      </c>
      <c r="E102" t="s">
        <v>14</v>
      </c>
      <c r="F102">
        <v>2</v>
      </c>
      <c r="G102">
        <v>400</v>
      </c>
      <c r="H102">
        <v>20</v>
      </c>
      <c r="I102" t="s">
        <v>15</v>
      </c>
      <c r="J102" t="s">
        <v>16</v>
      </c>
    </row>
    <row r="103" spans="1:10">
      <c r="A103" s="25">
        <v>46303</v>
      </c>
      <c r="B103" t="s">
        <v>155</v>
      </c>
      <c r="C103" s="26" t="s">
        <v>27</v>
      </c>
      <c r="D103" t="s">
        <v>41</v>
      </c>
      <c r="E103" t="s">
        <v>14</v>
      </c>
      <c r="F103">
        <v>2</v>
      </c>
      <c r="G103">
        <v>15000</v>
      </c>
      <c r="H103">
        <v>0</v>
      </c>
      <c r="I103" t="s">
        <v>43</v>
      </c>
      <c r="J103" t="s">
        <v>20</v>
      </c>
    </row>
    <row r="104" spans="1:10">
      <c r="A104" s="25">
        <v>46304</v>
      </c>
      <c r="B104" t="s">
        <v>156</v>
      </c>
      <c r="C104" s="26" t="s">
        <v>69</v>
      </c>
      <c r="D104" t="s">
        <v>79</v>
      </c>
      <c r="E104" t="s">
        <v>14</v>
      </c>
      <c r="F104">
        <v>3</v>
      </c>
      <c r="G104">
        <v>200</v>
      </c>
      <c r="H104">
        <v>0</v>
      </c>
      <c r="I104" t="s">
        <v>15</v>
      </c>
      <c r="J104" t="s">
        <v>33</v>
      </c>
    </row>
    <row r="105" spans="1:10">
      <c r="A105" s="25">
        <v>46305</v>
      </c>
      <c r="B105" t="s">
        <v>157</v>
      </c>
      <c r="C105" s="26" t="s">
        <v>89</v>
      </c>
      <c r="D105" t="s">
        <v>41</v>
      </c>
      <c r="E105" t="s">
        <v>42</v>
      </c>
      <c r="F105">
        <v>3</v>
      </c>
      <c r="G105">
        <v>15000</v>
      </c>
      <c r="H105">
        <v>20</v>
      </c>
      <c r="I105" t="s">
        <v>15</v>
      </c>
      <c r="J105" t="s">
        <v>25</v>
      </c>
    </row>
    <row r="106" spans="1:10">
      <c r="A106" s="25">
        <v>46306</v>
      </c>
      <c r="B106" t="s">
        <v>158</v>
      </c>
      <c r="C106" s="26" t="s">
        <v>27</v>
      </c>
      <c r="D106" t="s">
        <v>23</v>
      </c>
      <c r="E106" t="s">
        <v>19</v>
      </c>
      <c r="F106" t="s">
        <v>55</v>
      </c>
      <c r="G106">
        <v>200</v>
      </c>
      <c r="H106">
        <v>0</v>
      </c>
      <c r="I106" t="s">
        <v>43</v>
      </c>
      <c r="J106" t="s">
        <v>16</v>
      </c>
    </row>
    <row r="107" spans="1:10">
      <c r="A107" s="25">
        <v>46307</v>
      </c>
      <c r="B107" t="s">
        <v>159</v>
      </c>
      <c r="C107" s="26" t="s">
        <v>69</v>
      </c>
      <c r="D107" t="s">
        <v>13</v>
      </c>
      <c r="E107" t="s">
        <v>14</v>
      </c>
      <c r="F107">
        <v>2</v>
      </c>
      <c r="G107">
        <v>50</v>
      </c>
      <c r="H107">
        <v>0</v>
      </c>
      <c r="I107" t="s">
        <v>43</v>
      </c>
      <c r="J107" t="s">
        <v>35</v>
      </c>
    </row>
    <row r="108" spans="1:10">
      <c r="A108" s="25">
        <v>46308</v>
      </c>
      <c r="B108" t="s">
        <v>160</v>
      </c>
      <c r="C108" s="26" t="s">
        <v>51</v>
      </c>
      <c r="D108" t="s">
        <v>59</v>
      </c>
      <c r="E108" t="s">
        <v>42</v>
      </c>
      <c r="F108">
        <v>3</v>
      </c>
      <c r="G108">
        <v>100</v>
      </c>
      <c r="H108">
        <v>0</v>
      </c>
      <c r="I108" t="s">
        <v>24</v>
      </c>
      <c r="J108" t="s">
        <v>33</v>
      </c>
    </row>
    <row r="109" spans="1:10">
      <c r="A109" s="25">
        <v>46309</v>
      </c>
      <c r="B109" t="s">
        <v>161</v>
      </c>
      <c r="C109" s="26" t="s">
        <v>49</v>
      </c>
      <c r="D109" t="s">
        <v>23</v>
      </c>
      <c r="E109" t="s">
        <v>32</v>
      </c>
      <c r="F109">
        <v>5</v>
      </c>
      <c r="G109">
        <v>450</v>
      </c>
      <c r="H109">
        <v>10</v>
      </c>
      <c r="I109" t="s">
        <v>15</v>
      </c>
      <c r="J109" t="s">
        <v>20</v>
      </c>
    </row>
    <row r="110" spans="1:10">
      <c r="A110" s="25">
        <v>46310</v>
      </c>
      <c r="B110" t="s">
        <v>162</v>
      </c>
      <c r="C110" s="26" t="s">
        <v>102</v>
      </c>
      <c r="D110" t="s">
        <v>38</v>
      </c>
      <c r="E110" t="s">
        <v>42</v>
      </c>
      <c r="F110">
        <v>2</v>
      </c>
      <c r="G110">
        <v>200</v>
      </c>
      <c r="H110">
        <v>20</v>
      </c>
      <c r="I110" t="s">
        <v>43</v>
      </c>
      <c r="J110" t="s">
        <v>25</v>
      </c>
    </row>
    <row r="111" spans="1:10">
      <c r="A111" s="25">
        <v>46311</v>
      </c>
      <c r="B111" t="s">
        <v>163</v>
      </c>
      <c r="C111" s="26" t="s">
        <v>83</v>
      </c>
      <c r="D111" t="s">
        <v>61</v>
      </c>
      <c r="E111" t="s">
        <v>42</v>
      </c>
      <c r="F111">
        <v>1</v>
      </c>
      <c r="G111">
        <v>200</v>
      </c>
      <c r="H111">
        <v>0</v>
      </c>
      <c r="I111" t="s">
        <v>43</v>
      </c>
      <c r="J111" t="s">
        <v>33</v>
      </c>
    </row>
    <row r="112" spans="1:10">
      <c r="A112" s="25">
        <v>46312</v>
      </c>
      <c r="B112" t="s">
        <v>164</v>
      </c>
      <c r="C112" s="26" t="s">
        <v>89</v>
      </c>
      <c r="D112" t="s">
        <v>38</v>
      </c>
      <c r="E112" t="s">
        <v>32</v>
      </c>
      <c r="F112">
        <v>2</v>
      </c>
      <c r="G112">
        <v>15000</v>
      </c>
      <c r="H112">
        <v>0</v>
      </c>
      <c r="I112" t="s">
        <v>15</v>
      </c>
      <c r="J112" t="s">
        <v>33</v>
      </c>
    </row>
    <row r="113" spans="1:10">
      <c r="A113" s="25">
        <v>46313</v>
      </c>
      <c r="B113" t="s">
        <v>165</v>
      </c>
      <c r="C113" s="26" t="s">
        <v>49</v>
      </c>
      <c r="D113" t="s">
        <v>52</v>
      </c>
      <c r="E113" t="s">
        <v>39</v>
      </c>
      <c r="F113">
        <v>4</v>
      </c>
      <c r="G113">
        <v>400</v>
      </c>
      <c r="H113">
        <v>10</v>
      </c>
      <c r="I113" t="s">
        <v>15</v>
      </c>
      <c r="J113" t="s">
        <v>20</v>
      </c>
    </row>
    <row r="114" spans="1:10">
      <c r="A114" s="25">
        <v>46314</v>
      </c>
      <c r="B114" t="s">
        <v>166</v>
      </c>
      <c r="C114" s="26" t="s">
        <v>45</v>
      </c>
      <c r="D114" t="s">
        <v>38</v>
      </c>
      <c r="E114" t="s">
        <v>32</v>
      </c>
      <c r="F114">
        <v>4</v>
      </c>
      <c r="G114">
        <v>15000</v>
      </c>
      <c r="H114">
        <v>0</v>
      </c>
      <c r="I114" t="s">
        <v>43</v>
      </c>
      <c r="J114" t="s">
        <v>35</v>
      </c>
    </row>
    <row r="115" spans="1:10">
      <c r="A115" s="25">
        <v>46315</v>
      </c>
      <c r="B115" t="s">
        <v>167</v>
      </c>
      <c r="C115" s="26" t="s">
        <v>81</v>
      </c>
      <c r="D115" t="s">
        <v>52</v>
      </c>
      <c r="E115" t="s">
        <v>39</v>
      </c>
      <c r="F115" t="s">
        <v>55</v>
      </c>
      <c r="G115">
        <v>450</v>
      </c>
      <c r="H115">
        <v>10</v>
      </c>
      <c r="I115" t="s">
        <v>15</v>
      </c>
      <c r="J115" t="s">
        <v>20</v>
      </c>
    </row>
    <row r="116" spans="1:10">
      <c r="A116" s="25">
        <v>46316</v>
      </c>
      <c r="B116" t="s">
        <v>168</v>
      </c>
      <c r="C116" s="26" t="s">
        <v>89</v>
      </c>
      <c r="D116" t="s">
        <v>23</v>
      </c>
      <c r="E116" t="s">
        <v>19</v>
      </c>
      <c r="F116">
        <v>4</v>
      </c>
      <c r="G116">
        <v>50</v>
      </c>
      <c r="H116">
        <v>0</v>
      </c>
      <c r="I116" t="s">
        <v>24</v>
      </c>
      <c r="J116" t="s">
        <v>35</v>
      </c>
    </row>
    <row r="117" spans="1:10">
      <c r="A117" s="25">
        <v>46317</v>
      </c>
      <c r="B117" t="s">
        <v>169</v>
      </c>
      <c r="C117" s="26" t="s">
        <v>30</v>
      </c>
      <c r="D117" t="s">
        <v>31</v>
      </c>
      <c r="E117" t="s">
        <v>19</v>
      </c>
      <c r="F117">
        <v>2</v>
      </c>
      <c r="G117">
        <v>15000</v>
      </c>
      <c r="H117">
        <v>0</v>
      </c>
      <c r="I117" t="s">
        <v>15</v>
      </c>
      <c r="J117" t="s">
        <v>16</v>
      </c>
    </row>
    <row r="118" spans="1:10">
      <c r="A118" s="25">
        <v>46318</v>
      </c>
      <c r="B118" t="s">
        <v>170</v>
      </c>
      <c r="C118" s="26" t="s">
        <v>75</v>
      </c>
      <c r="D118" t="s">
        <v>52</v>
      </c>
      <c r="E118" t="s">
        <v>19</v>
      </c>
      <c r="F118" t="s">
        <v>55</v>
      </c>
      <c r="G118">
        <v>400</v>
      </c>
      <c r="H118">
        <v>0</v>
      </c>
      <c r="I118" t="s">
        <v>15</v>
      </c>
      <c r="J118" t="s">
        <v>20</v>
      </c>
    </row>
    <row r="119" spans="1:10">
      <c r="A119" s="25">
        <v>46319</v>
      </c>
      <c r="B119" t="s">
        <v>171</v>
      </c>
      <c r="C119" s="26" t="s">
        <v>30</v>
      </c>
      <c r="D119" t="s">
        <v>13</v>
      </c>
      <c r="E119" t="s">
        <v>14</v>
      </c>
      <c r="F119">
        <v>3</v>
      </c>
      <c r="G119">
        <v>50</v>
      </c>
      <c r="H119">
        <v>0</v>
      </c>
      <c r="I119" t="s">
        <v>43</v>
      </c>
      <c r="J119" t="s">
        <v>25</v>
      </c>
    </row>
    <row r="120" spans="1:10">
      <c r="A120" s="25">
        <v>46320</v>
      </c>
      <c r="B120" t="s">
        <v>172</v>
      </c>
      <c r="C120" s="26" t="s">
        <v>37</v>
      </c>
      <c r="D120" t="s">
        <v>61</v>
      </c>
      <c r="E120" t="s">
        <v>32</v>
      </c>
      <c r="F120">
        <v>2</v>
      </c>
      <c r="G120">
        <v>200</v>
      </c>
      <c r="H120">
        <v>20</v>
      </c>
      <c r="I120" t="s">
        <v>15</v>
      </c>
      <c r="J120" t="s">
        <v>33</v>
      </c>
    </row>
    <row r="121" spans="1:10">
      <c r="A121" s="25">
        <v>46321</v>
      </c>
      <c r="B121" t="s">
        <v>173</v>
      </c>
      <c r="C121" s="26" t="s">
        <v>27</v>
      </c>
      <c r="D121" t="s">
        <v>41</v>
      </c>
      <c r="E121" t="s">
        <v>19</v>
      </c>
      <c r="F121">
        <v>3</v>
      </c>
      <c r="G121">
        <v>200</v>
      </c>
      <c r="H121">
        <v>10</v>
      </c>
      <c r="I121" t="s">
        <v>43</v>
      </c>
      <c r="J121" t="s">
        <v>20</v>
      </c>
    </row>
    <row r="122" spans="1:10">
      <c r="A122" s="25">
        <v>46322</v>
      </c>
      <c r="B122" t="s">
        <v>174</v>
      </c>
      <c r="C122" s="26" t="s">
        <v>83</v>
      </c>
      <c r="D122" t="s">
        <v>79</v>
      </c>
      <c r="E122" t="s">
        <v>32</v>
      </c>
      <c r="F122">
        <v>3</v>
      </c>
      <c r="G122">
        <v>400</v>
      </c>
      <c r="H122">
        <v>20</v>
      </c>
      <c r="I122" t="s">
        <v>15</v>
      </c>
      <c r="J122" t="s">
        <v>33</v>
      </c>
    </row>
    <row r="123" spans="1:10">
      <c r="A123" s="25">
        <v>46323</v>
      </c>
      <c r="B123" t="s">
        <v>175</v>
      </c>
      <c r="C123" s="26" t="s">
        <v>69</v>
      </c>
      <c r="D123" t="s">
        <v>61</v>
      </c>
      <c r="E123" t="s">
        <v>39</v>
      </c>
      <c r="F123">
        <v>1</v>
      </c>
      <c r="G123">
        <v>450</v>
      </c>
      <c r="H123">
        <v>0</v>
      </c>
      <c r="I123" t="s">
        <v>43</v>
      </c>
      <c r="J123" t="s">
        <v>20</v>
      </c>
    </row>
    <row r="124" spans="1:10">
      <c r="A124" s="25">
        <v>46324</v>
      </c>
      <c r="B124" t="s">
        <v>176</v>
      </c>
      <c r="C124" s="26" t="s">
        <v>47</v>
      </c>
      <c r="D124" t="s">
        <v>31</v>
      </c>
      <c r="E124" t="s">
        <v>32</v>
      </c>
      <c r="F124">
        <v>5</v>
      </c>
      <c r="G124">
        <v>450</v>
      </c>
      <c r="H124">
        <v>0</v>
      </c>
      <c r="I124" t="s">
        <v>43</v>
      </c>
      <c r="J124" t="s">
        <v>33</v>
      </c>
    </row>
    <row r="125" spans="1:10">
      <c r="A125" s="25">
        <v>46325</v>
      </c>
      <c r="B125" t="s">
        <v>177</v>
      </c>
      <c r="C125" s="26" t="s">
        <v>57</v>
      </c>
      <c r="D125" t="s">
        <v>79</v>
      </c>
      <c r="E125" t="s">
        <v>42</v>
      </c>
      <c r="F125">
        <v>1</v>
      </c>
      <c r="G125">
        <v>400</v>
      </c>
      <c r="H125">
        <v>10</v>
      </c>
      <c r="I125" t="s">
        <v>24</v>
      </c>
      <c r="J125" t="s">
        <v>35</v>
      </c>
    </row>
    <row r="126" spans="1:10">
      <c r="A126" s="25">
        <v>46326</v>
      </c>
      <c r="B126" t="s">
        <v>178</v>
      </c>
      <c r="C126" s="26" t="s">
        <v>45</v>
      </c>
      <c r="D126" t="s">
        <v>38</v>
      </c>
      <c r="E126" t="s">
        <v>39</v>
      </c>
      <c r="F126">
        <v>4</v>
      </c>
      <c r="G126">
        <v>100</v>
      </c>
      <c r="H126">
        <v>10</v>
      </c>
      <c r="I126" t="s">
        <v>43</v>
      </c>
      <c r="J126" t="s">
        <v>16</v>
      </c>
    </row>
    <row r="127" spans="1:10">
      <c r="A127" s="25">
        <v>46327</v>
      </c>
      <c r="B127" t="s">
        <v>179</v>
      </c>
      <c r="C127" s="26" t="s">
        <v>83</v>
      </c>
      <c r="D127" t="s">
        <v>52</v>
      </c>
      <c r="E127" t="s">
        <v>39</v>
      </c>
      <c r="F127">
        <v>2</v>
      </c>
      <c r="G127">
        <v>400</v>
      </c>
      <c r="H127">
        <v>10</v>
      </c>
      <c r="I127" t="s">
        <v>43</v>
      </c>
      <c r="J127" t="s">
        <v>33</v>
      </c>
    </row>
    <row r="128" spans="1:10">
      <c r="A128" s="25">
        <v>46328</v>
      </c>
      <c r="B128" t="s">
        <v>180</v>
      </c>
      <c r="C128" s="26" t="s">
        <v>65</v>
      </c>
      <c r="D128" t="s">
        <v>41</v>
      </c>
      <c r="E128" t="s">
        <v>32</v>
      </c>
      <c r="F128">
        <v>2</v>
      </c>
      <c r="G128">
        <v>20000</v>
      </c>
      <c r="H128">
        <v>0</v>
      </c>
      <c r="I128" t="s">
        <v>43</v>
      </c>
      <c r="J128" t="s">
        <v>35</v>
      </c>
    </row>
    <row r="129" spans="1:10">
      <c r="A129" s="25">
        <v>46329</v>
      </c>
      <c r="B129" t="s">
        <v>181</v>
      </c>
      <c r="C129" s="26" t="s">
        <v>22</v>
      </c>
      <c r="D129" t="s">
        <v>23</v>
      </c>
      <c r="E129" t="s">
        <v>32</v>
      </c>
      <c r="F129">
        <v>2</v>
      </c>
      <c r="G129">
        <v>400</v>
      </c>
      <c r="H129">
        <v>20</v>
      </c>
      <c r="I129" t="s">
        <v>43</v>
      </c>
      <c r="J129" t="s">
        <v>20</v>
      </c>
    </row>
    <row r="130" spans="1:10">
      <c r="A130" s="25">
        <v>46330</v>
      </c>
      <c r="B130" t="s">
        <v>182</v>
      </c>
      <c r="C130" s="26" t="s">
        <v>57</v>
      </c>
      <c r="D130" t="s">
        <v>13</v>
      </c>
      <c r="E130" t="s">
        <v>19</v>
      </c>
      <c r="F130">
        <v>1</v>
      </c>
      <c r="G130">
        <v>400</v>
      </c>
      <c r="H130">
        <v>20</v>
      </c>
      <c r="I130" t="s">
        <v>43</v>
      </c>
      <c r="J130" t="s">
        <v>35</v>
      </c>
    </row>
    <row r="131" spans="1:10">
      <c r="A131" s="25">
        <v>46331</v>
      </c>
      <c r="B131" t="s">
        <v>183</v>
      </c>
      <c r="C131" s="26" t="s">
        <v>37</v>
      </c>
      <c r="D131" t="s">
        <v>23</v>
      </c>
      <c r="E131" t="s">
        <v>42</v>
      </c>
      <c r="F131">
        <v>3</v>
      </c>
      <c r="G131">
        <v>50</v>
      </c>
      <c r="H131">
        <v>0</v>
      </c>
      <c r="I131" t="s">
        <v>43</v>
      </c>
      <c r="J131" t="s">
        <v>35</v>
      </c>
    </row>
    <row r="132" spans="1:10">
      <c r="A132" s="25">
        <v>46332</v>
      </c>
      <c r="B132" t="s">
        <v>184</v>
      </c>
      <c r="C132" s="26" t="s">
        <v>27</v>
      </c>
      <c r="D132" t="s">
        <v>79</v>
      </c>
      <c r="E132" t="s">
        <v>32</v>
      </c>
      <c r="F132">
        <v>2</v>
      </c>
      <c r="G132">
        <v>50</v>
      </c>
      <c r="H132">
        <v>0</v>
      </c>
      <c r="I132" t="s">
        <v>43</v>
      </c>
      <c r="J132" t="s">
        <v>25</v>
      </c>
    </row>
    <row r="133" spans="1:10">
      <c r="A133" s="25">
        <v>46333</v>
      </c>
      <c r="B133" t="s">
        <v>185</v>
      </c>
      <c r="C133" s="26" t="s">
        <v>81</v>
      </c>
      <c r="D133" t="s">
        <v>61</v>
      </c>
      <c r="E133" t="s">
        <v>39</v>
      </c>
      <c r="F133" t="s">
        <v>55</v>
      </c>
      <c r="G133">
        <v>450</v>
      </c>
      <c r="H133">
        <v>10</v>
      </c>
      <c r="I133" t="s">
        <v>43</v>
      </c>
      <c r="J133" t="s">
        <v>33</v>
      </c>
    </row>
    <row r="134" spans="1:10">
      <c r="A134" s="25">
        <v>46334</v>
      </c>
      <c r="B134" t="s">
        <v>186</v>
      </c>
      <c r="C134" s="26" t="s">
        <v>47</v>
      </c>
      <c r="D134" t="s">
        <v>61</v>
      </c>
      <c r="E134" t="s">
        <v>42</v>
      </c>
      <c r="F134">
        <v>5</v>
      </c>
      <c r="G134">
        <v>450</v>
      </c>
      <c r="H134">
        <v>20</v>
      </c>
      <c r="I134" t="s">
        <v>15</v>
      </c>
      <c r="J134" t="s">
        <v>25</v>
      </c>
    </row>
    <row r="135" spans="1:10">
      <c r="A135" s="25">
        <v>46335</v>
      </c>
      <c r="B135" t="s">
        <v>187</v>
      </c>
      <c r="C135" s="26" t="s">
        <v>49</v>
      </c>
      <c r="D135" t="s">
        <v>79</v>
      </c>
      <c r="E135" t="s">
        <v>42</v>
      </c>
      <c r="F135">
        <v>2</v>
      </c>
      <c r="G135">
        <v>400</v>
      </c>
      <c r="H135">
        <v>0</v>
      </c>
      <c r="I135" t="s">
        <v>15</v>
      </c>
      <c r="J135" t="s">
        <v>25</v>
      </c>
    </row>
    <row r="136" spans="1:10">
      <c r="A136" s="25">
        <v>46336</v>
      </c>
      <c r="B136" t="s">
        <v>188</v>
      </c>
      <c r="C136" s="26" t="s">
        <v>89</v>
      </c>
      <c r="D136" t="s">
        <v>28</v>
      </c>
      <c r="E136" t="s">
        <v>39</v>
      </c>
      <c r="F136">
        <v>2</v>
      </c>
      <c r="G136">
        <v>200</v>
      </c>
      <c r="H136">
        <v>0</v>
      </c>
      <c r="I136" t="s">
        <v>43</v>
      </c>
      <c r="J136" t="s">
        <v>25</v>
      </c>
    </row>
    <row r="137" spans="1:10">
      <c r="A137" s="25">
        <v>46337</v>
      </c>
      <c r="B137" t="s">
        <v>189</v>
      </c>
      <c r="C137" s="26" t="s">
        <v>18</v>
      </c>
      <c r="D137" t="s">
        <v>23</v>
      </c>
      <c r="E137" t="s">
        <v>14</v>
      </c>
      <c r="F137">
        <v>2</v>
      </c>
      <c r="G137">
        <v>50</v>
      </c>
      <c r="H137">
        <v>0</v>
      </c>
      <c r="I137" t="s">
        <v>43</v>
      </c>
      <c r="J137" t="s">
        <v>16</v>
      </c>
    </row>
    <row r="138" spans="1:10">
      <c r="A138" s="25">
        <v>46338</v>
      </c>
      <c r="B138" t="s">
        <v>190</v>
      </c>
      <c r="C138" s="26" t="s">
        <v>47</v>
      </c>
      <c r="D138" t="s">
        <v>52</v>
      </c>
      <c r="E138" t="s">
        <v>19</v>
      </c>
      <c r="F138">
        <v>4</v>
      </c>
      <c r="G138">
        <v>200</v>
      </c>
      <c r="H138">
        <v>0</v>
      </c>
      <c r="I138" t="s">
        <v>43</v>
      </c>
      <c r="J138" t="s">
        <v>35</v>
      </c>
    </row>
    <row r="139" spans="1:10">
      <c r="A139" s="25">
        <v>46339</v>
      </c>
      <c r="B139" t="s">
        <v>191</v>
      </c>
      <c r="C139" s="26" t="s">
        <v>18</v>
      </c>
      <c r="D139" t="s">
        <v>13</v>
      </c>
      <c r="E139" t="s">
        <v>19</v>
      </c>
      <c r="F139">
        <v>4</v>
      </c>
      <c r="G139">
        <v>200</v>
      </c>
      <c r="H139">
        <v>10</v>
      </c>
      <c r="I139" t="s">
        <v>24</v>
      </c>
      <c r="J139" t="s">
        <v>25</v>
      </c>
    </row>
    <row r="140" spans="1:10">
      <c r="A140" s="25">
        <v>46340</v>
      </c>
      <c r="B140" t="s">
        <v>192</v>
      </c>
      <c r="C140" s="26" t="s">
        <v>54</v>
      </c>
      <c r="D140" t="s">
        <v>41</v>
      </c>
      <c r="E140" t="s">
        <v>19</v>
      </c>
      <c r="F140">
        <v>3</v>
      </c>
      <c r="G140">
        <v>15000</v>
      </c>
      <c r="H140">
        <v>0</v>
      </c>
      <c r="I140" t="s">
        <v>15</v>
      </c>
      <c r="J140" t="s">
        <v>20</v>
      </c>
    </row>
    <row r="141" spans="1:10">
      <c r="A141" s="25">
        <v>46341</v>
      </c>
      <c r="B141" t="s">
        <v>193</v>
      </c>
      <c r="C141" s="26" t="s">
        <v>47</v>
      </c>
      <c r="D141" t="s">
        <v>13</v>
      </c>
      <c r="E141" t="s">
        <v>42</v>
      </c>
      <c r="F141">
        <v>2</v>
      </c>
      <c r="G141">
        <v>50</v>
      </c>
      <c r="H141">
        <v>0</v>
      </c>
      <c r="I141" t="s">
        <v>43</v>
      </c>
      <c r="J141" t="s">
        <v>33</v>
      </c>
    </row>
    <row r="142" spans="1:10">
      <c r="A142" s="25">
        <v>46342</v>
      </c>
      <c r="B142" t="s">
        <v>194</v>
      </c>
      <c r="C142" s="26" t="s">
        <v>108</v>
      </c>
      <c r="D142" t="s">
        <v>61</v>
      </c>
      <c r="E142" t="s">
        <v>19</v>
      </c>
      <c r="F142">
        <v>2</v>
      </c>
      <c r="G142">
        <v>200</v>
      </c>
      <c r="H142">
        <v>0</v>
      </c>
      <c r="I142" t="s">
        <v>24</v>
      </c>
      <c r="J142" t="s">
        <v>20</v>
      </c>
    </row>
    <row r="143" spans="1:10">
      <c r="A143" s="25">
        <v>46343</v>
      </c>
      <c r="B143" t="s">
        <v>195</v>
      </c>
      <c r="C143" s="26" t="s">
        <v>65</v>
      </c>
      <c r="D143" t="s">
        <v>61</v>
      </c>
      <c r="E143" t="s">
        <v>19</v>
      </c>
      <c r="F143">
        <v>3</v>
      </c>
      <c r="G143">
        <v>15000</v>
      </c>
      <c r="H143">
        <v>0</v>
      </c>
      <c r="I143" t="s">
        <v>15</v>
      </c>
      <c r="J143" t="s">
        <v>33</v>
      </c>
    </row>
    <row r="144" spans="1:10">
      <c r="A144" s="25">
        <v>46344</v>
      </c>
      <c r="B144" t="s">
        <v>196</v>
      </c>
      <c r="C144" s="26" t="s">
        <v>37</v>
      </c>
      <c r="D144" t="s">
        <v>38</v>
      </c>
      <c r="E144" t="s">
        <v>39</v>
      </c>
      <c r="F144" s="27" t="s">
        <v>55</v>
      </c>
      <c r="G144">
        <v>50</v>
      </c>
      <c r="H144">
        <v>20</v>
      </c>
      <c r="I144" t="s">
        <v>24</v>
      </c>
      <c r="J144" t="s">
        <v>33</v>
      </c>
    </row>
    <row r="145" spans="1:10">
      <c r="A145" s="25">
        <v>46345</v>
      </c>
      <c r="B145" t="s">
        <v>197</v>
      </c>
      <c r="C145" s="26" t="s">
        <v>22</v>
      </c>
      <c r="D145" t="s">
        <v>38</v>
      </c>
      <c r="E145" t="s">
        <v>19</v>
      </c>
      <c r="F145">
        <v>5</v>
      </c>
      <c r="G145">
        <v>200</v>
      </c>
      <c r="H145">
        <v>20</v>
      </c>
      <c r="I145" t="s">
        <v>15</v>
      </c>
      <c r="J145" t="s">
        <v>20</v>
      </c>
    </row>
    <row r="146" spans="1:10">
      <c r="A146" s="25">
        <v>46346</v>
      </c>
      <c r="B146" t="s">
        <v>198</v>
      </c>
      <c r="C146" s="26" t="s">
        <v>49</v>
      </c>
      <c r="D146" t="s">
        <v>61</v>
      </c>
      <c r="E146" t="s">
        <v>42</v>
      </c>
      <c r="F146">
        <v>2</v>
      </c>
      <c r="G146">
        <v>50</v>
      </c>
      <c r="H146">
        <v>0</v>
      </c>
      <c r="I146" t="s">
        <v>24</v>
      </c>
      <c r="J146" t="s">
        <v>33</v>
      </c>
    </row>
    <row r="147" spans="1:10">
      <c r="A147" s="25">
        <v>46347</v>
      </c>
      <c r="B147" t="s">
        <v>199</v>
      </c>
      <c r="C147" s="26" t="s">
        <v>27</v>
      </c>
      <c r="D147" t="s">
        <v>52</v>
      </c>
      <c r="E147" t="s">
        <v>14</v>
      </c>
      <c r="F147">
        <v>4</v>
      </c>
      <c r="G147">
        <v>50</v>
      </c>
      <c r="H147">
        <v>20</v>
      </c>
      <c r="I147" t="s">
        <v>15</v>
      </c>
      <c r="J147" t="s">
        <v>33</v>
      </c>
    </row>
    <row r="148" spans="1:10">
      <c r="A148" s="25">
        <v>46348</v>
      </c>
      <c r="B148" t="s">
        <v>200</v>
      </c>
      <c r="C148" s="26" t="s">
        <v>89</v>
      </c>
      <c r="D148" t="s">
        <v>61</v>
      </c>
      <c r="E148" t="s">
        <v>14</v>
      </c>
      <c r="F148">
        <v>5</v>
      </c>
      <c r="G148">
        <v>20000</v>
      </c>
      <c r="H148">
        <v>10</v>
      </c>
      <c r="I148" t="s">
        <v>15</v>
      </c>
      <c r="J148" t="s">
        <v>25</v>
      </c>
    </row>
    <row r="149" spans="1:10">
      <c r="A149" s="25">
        <v>46349</v>
      </c>
      <c r="B149" t="s">
        <v>201</v>
      </c>
      <c r="C149" s="26" t="s">
        <v>54</v>
      </c>
      <c r="D149" t="s">
        <v>13</v>
      </c>
      <c r="E149" t="s">
        <v>14</v>
      </c>
      <c r="F149">
        <v>3</v>
      </c>
      <c r="G149">
        <v>400</v>
      </c>
      <c r="H149">
        <v>10</v>
      </c>
      <c r="I149" t="s">
        <v>15</v>
      </c>
      <c r="J149" t="s">
        <v>25</v>
      </c>
    </row>
    <row r="150" spans="1:10">
      <c r="A150" s="25">
        <v>46350</v>
      </c>
      <c r="B150" t="s">
        <v>202</v>
      </c>
      <c r="C150" s="26" t="s">
        <v>108</v>
      </c>
      <c r="D150" t="s">
        <v>23</v>
      </c>
      <c r="E150" t="s">
        <v>19</v>
      </c>
      <c r="F150">
        <v>2</v>
      </c>
      <c r="G150">
        <v>20000</v>
      </c>
      <c r="H150">
        <v>10</v>
      </c>
      <c r="I150" t="s">
        <v>24</v>
      </c>
      <c r="J150" t="s">
        <v>16</v>
      </c>
    </row>
    <row r="151" spans="1:10">
      <c r="A151" s="25">
        <v>46351</v>
      </c>
      <c r="B151" t="s">
        <v>203</v>
      </c>
      <c r="C151" s="26" t="s">
        <v>18</v>
      </c>
      <c r="D151" t="s">
        <v>79</v>
      </c>
      <c r="E151" t="s">
        <v>42</v>
      </c>
      <c r="F151">
        <v>1</v>
      </c>
      <c r="G151">
        <v>450</v>
      </c>
      <c r="H151">
        <v>10</v>
      </c>
      <c r="I151" t="s">
        <v>15</v>
      </c>
      <c r="J151" t="s">
        <v>33</v>
      </c>
    </row>
    <row r="152" spans="1:10">
      <c r="A152" s="25">
        <v>46352</v>
      </c>
      <c r="B152" t="s">
        <v>204</v>
      </c>
      <c r="C152" s="26" t="s">
        <v>37</v>
      </c>
      <c r="D152" t="s">
        <v>79</v>
      </c>
      <c r="E152" t="s">
        <v>42</v>
      </c>
      <c r="F152">
        <v>4</v>
      </c>
      <c r="G152">
        <v>100</v>
      </c>
      <c r="H152">
        <v>0</v>
      </c>
      <c r="I152" t="s">
        <v>43</v>
      </c>
      <c r="J152" t="s">
        <v>33</v>
      </c>
    </row>
    <row r="153" spans="1:10">
      <c r="A153" s="25">
        <v>46353</v>
      </c>
      <c r="B153" t="s">
        <v>205</v>
      </c>
      <c r="C153" s="26" t="s">
        <v>54</v>
      </c>
      <c r="D153" t="s">
        <v>59</v>
      </c>
      <c r="E153" t="s">
        <v>39</v>
      </c>
      <c r="F153" t="s">
        <v>55</v>
      </c>
      <c r="G153">
        <v>20000</v>
      </c>
      <c r="H153">
        <v>0</v>
      </c>
      <c r="I153" t="s">
        <v>15</v>
      </c>
      <c r="J153" t="s">
        <v>20</v>
      </c>
    </row>
    <row r="155" spans="1:10">
      <c r="F155">
        <f>SUM(F144)</f>
        <v>0</v>
      </c>
      <c r="G155">
        <f>COUNT(F48)</f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6" workbookViewId="0">
      <selection activeCell="F22" sqref="F22"/>
    </sheetView>
  </sheetViews>
  <sheetFormatPr defaultColWidth="8.88888888888889" defaultRowHeight="14.4" outlineLevelCol="5"/>
  <cols>
    <col min="1" max="1" width="10.2222222222222" customWidth="1"/>
    <col min="2" max="2" width="12.8888888888889" customWidth="1"/>
    <col min="3" max="3" width="9" customWidth="1"/>
    <col min="4" max="4" width="12.7777777777778" customWidth="1"/>
    <col min="5" max="5" width="12.8888888888889"/>
  </cols>
  <sheetData>
    <row r="1" ht="21" spans="1:6">
      <c r="A1" s="1" t="s">
        <v>206</v>
      </c>
    </row>
    <row r="3" ht="15.15" spans="1:6">
      <c r="A3" t="s">
        <v>207</v>
      </c>
      <c r="B3" t="s">
        <v>208</v>
      </c>
      <c r="D3" s="2" t="s">
        <v>8</v>
      </c>
      <c r="E3" s="3" t="s">
        <v>208</v>
      </c>
      <c r="F3" s="4"/>
    </row>
    <row r="4" ht="15.15" spans="1:6">
      <c r="A4" t="s">
        <v>209</v>
      </c>
      <c r="B4">
        <f>SUM(Sheet1!G4:G153)</f>
        <v>687150</v>
      </c>
      <c r="D4" s="5" t="s">
        <v>209</v>
      </c>
      <c r="E4" s="6">
        <f>SUM(Sheet1!H4:H153)</f>
        <v>1170</v>
      </c>
    </row>
    <row r="5" spans="1:6">
      <c r="A5" t="s">
        <v>210</v>
      </c>
      <c r="B5">
        <f>MIN(Sheet1!G4:G153)</f>
        <v>50</v>
      </c>
      <c r="D5" s="7" t="s">
        <v>210</v>
      </c>
      <c r="E5" s="8">
        <f>MIN(Sheet1!H4:H153)</f>
        <v>0</v>
      </c>
    </row>
    <row r="6" spans="1:6">
      <c r="A6" t="s">
        <v>211</v>
      </c>
      <c r="B6">
        <f>MAX(Sheet1!G4:G153)</f>
        <v>20000</v>
      </c>
      <c r="D6" s="9" t="s">
        <v>211</v>
      </c>
      <c r="E6" s="10">
        <f>MAX(Sheet1!H4:H153)</f>
        <v>20</v>
      </c>
    </row>
    <row r="7" spans="1:6">
      <c r="A7" t="s">
        <v>212</v>
      </c>
      <c r="B7">
        <f>AVERAGE(Sheet1!G4:G153)</f>
        <v>4581</v>
      </c>
      <c r="D7" s="7" t="s">
        <v>212</v>
      </c>
      <c r="E7" s="8">
        <f>AVERAGE(Sheet1!H4:H153)</f>
        <v>7.8</v>
      </c>
    </row>
    <row r="8" spans="1:6">
      <c r="A8" t="s">
        <v>213</v>
      </c>
      <c r="B8">
        <v>4581</v>
      </c>
      <c r="D8" s="9" t="s">
        <v>213</v>
      </c>
      <c r="E8" s="10">
        <v>4581</v>
      </c>
    </row>
    <row r="9" spans="1:6">
      <c r="A9" t="s">
        <v>214</v>
      </c>
      <c r="B9" cm="1">
        <f t="array" ref="B9">MODE(Sheet1!G4:G153)</f>
        <v>200</v>
      </c>
      <c r="D9" s="7" t="s">
        <v>214</v>
      </c>
      <c r="E9" s="8" cm="1">
        <f t="array" ref="E9">MODE(Sheet1!H4:H153)</f>
        <v>0</v>
      </c>
    </row>
    <row r="10" spans="1:6">
      <c r="A10" t="s">
        <v>215</v>
      </c>
      <c r="B10">
        <f>MEDIAN(Sheet1!G4:G153)</f>
        <v>400</v>
      </c>
      <c r="D10" s="9" t="s">
        <v>215</v>
      </c>
      <c r="E10" s="10">
        <f>MEDIAN(Sheet1!H4:H153)</f>
        <v>5</v>
      </c>
    </row>
    <row r="11" spans="1:6">
      <c r="A11" t="s">
        <v>216</v>
      </c>
      <c r="B11">
        <f>STDEV(Sheet1!G4:G153)</f>
        <v>7711.89630576504</v>
      </c>
      <c r="D11" s="11" t="s">
        <v>216</v>
      </c>
      <c r="E11" s="12">
        <f>STDEV(Sheet1!H4:H153)</f>
        <v>8.58201647116862</v>
      </c>
    </row>
    <row r="14" ht="25.8" spans="1:6">
      <c r="A14" s="13" t="s">
        <v>217</v>
      </c>
    </row>
    <row r="15" ht="28.8" spans="1:6">
      <c r="A15" s="13"/>
      <c r="E15" s="14" t="s">
        <v>218</v>
      </c>
    </row>
    <row r="16" ht="15.15" spans="1:6">
      <c r="A16" s="2" t="s">
        <v>219</v>
      </c>
      <c r="B16" s="3" t="s">
        <v>220</v>
      </c>
      <c r="C16" s="15" t="s">
        <v>6</v>
      </c>
    </row>
    <row r="17" ht="15.9" spans="1:6">
      <c r="A17" s="16" t="s">
        <v>38</v>
      </c>
      <c r="B17">
        <f>SUM(Sheet1!G10:G145)</f>
        <v>625250</v>
      </c>
      <c r="C17">
        <f>SUM(Sheet1!F10:F145)</f>
        <v>322</v>
      </c>
      <c r="E17" s="17" t="s">
        <v>221</v>
      </c>
      <c r="F17" s="18" t="s">
        <v>222</v>
      </c>
    </row>
    <row r="18" ht="15.15" spans="1:6">
      <c r="A18" s="16" t="s">
        <v>41</v>
      </c>
      <c r="B18">
        <f>SUM(Sheet1!G11:G140)</f>
        <v>609650</v>
      </c>
      <c r="C18">
        <f>SUM(Sheet1!F11:F140)</f>
        <v>306</v>
      </c>
    </row>
    <row r="19" spans="1:6">
      <c r="A19" s="16" t="s">
        <v>52</v>
      </c>
      <c r="B19">
        <f>SUM(Sheet1!G15:G147)</f>
        <v>624150</v>
      </c>
      <c r="C19">
        <f>SUM(Sheet1!F15:F147)</f>
        <v>313</v>
      </c>
    </row>
    <row r="20" spans="1:6">
      <c r="A20" s="16" t="s">
        <v>28</v>
      </c>
      <c r="B20">
        <f>SUM(Sheet1!G7:G136)</f>
        <v>594550</v>
      </c>
      <c r="C20">
        <f>SUM(Sheet1!F7:F136)</f>
        <v>305</v>
      </c>
    </row>
    <row r="21" spans="1:6">
      <c r="A21" s="16" t="s">
        <v>23</v>
      </c>
      <c r="B21">
        <f>SUM(Sheet1!G6:G150)</f>
        <v>666400</v>
      </c>
      <c r="C21">
        <f>SUM(Sheet1!F6:F150)</f>
        <v>348</v>
      </c>
    </row>
    <row r="22" spans="1:6">
      <c r="A22" s="16" t="s">
        <v>59</v>
      </c>
      <c r="B22">
        <f>SUM(Sheet1!G18:G153)</f>
        <v>650050</v>
      </c>
      <c r="C22">
        <f>SUM(Sheet1!F18:F153)</f>
        <v>325</v>
      </c>
    </row>
    <row r="23" spans="1:6">
      <c r="A23" s="16" t="s">
        <v>31</v>
      </c>
      <c r="B23">
        <f>SUM(Sheet1!G8:G124)</f>
        <v>571150</v>
      </c>
      <c r="C23">
        <f>SUM(Sheet1!F8:F124)</f>
        <v>277</v>
      </c>
    </row>
    <row r="24" spans="1:6">
      <c r="A24" s="19" t="s">
        <v>13</v>
      </c>
      <c r="B24">
        <f>SUM(Sheet1!G4:G149)</f>
        <v>646600</v>
      </c>
      <c r="C24">
        <f>SUM(Sheet1!F4:F149)</f>
        <v>351</v>
      </c>
    </row>
    <row r="25" spans="1:6">
      <c r="A25" s="16" t="s">
        <v>61</v>
      </c>
      <c r="B25">
        <f>SUM(Sheet1!G19:G148)</f>
        <v>608700</v>
      </c>
      <c r="C25">
        <f>SUM(Sheet1!F19:F148)</f>
        <v>310</v>
      </c>
    </row>
    <row r="26" spans="1:6">
      <c r="A26" s="16" t="s">
        <v>79</v>
      </c>
      <c r="B26">
        <f>SUM(Sheet1!G33:G152)</f>
        <v>576700</v>
      </c>
      <c r="C26">
        <f>SUM(Sheet1!F33:F152)</f>
        <v>295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</cp:lastModifiedBy>
  <dcterms:created xsi:type="dcterms:W3CDTF">2026-08-05T06:59:00Z</dcterms:created>
  <dcterms:modified xsi:type="dcterms:W3CDTF">2026-08-05T12:48:08Z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EE2417B6E4564E268CA2DB12B9831640_12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